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/>
  <bookViews>
    <workbookView xWindow="0" yWindow="60" windowWidth="15195" windowHeight="9210"/>
  </bookViews>
  <sheets>
    <sheet name="COMPUTER" sheetId="3" r:id="rId1"/>
    <sheet name="Write a Program" sheetId="4" r:id="rId2"/>
    <sheet name="Details" sheetId="1" state="hidden" r:id="rId3"/>
  </sheets>
  <calcPr calcId="125725"/>
</workbook>
</file>

<file path=xl/calcChain.xml><?xml version="1.0" encoding="utf-8"?>
<calcChain xmlns="http://schemas.openxmlformats.org/spreadsheetml/2006/main">
  <c r="F8" i="3"/>
  <c r="N8"/>
  <c r="O8"/>
  <c r="P8"/>
  <c r="F9"/>
  <c r="N9"/>
  <c r="O9" s="1"/>
  <c r="P9"/>
  <c r="F10"/>
  <c r="N10"/>
  <c r="O10"/>
  <c r="P10"/>
  <c r="F11"/>
  <c r="N11"/>
  <c r="O11"/>
  <c r="P11"/>
  <c r="F12"/>
  <c r="N12"/>
  <c r="O12"/>
  <c r="P12"/>
  <c r="F13"/>
  <c r="N13"/>
  <c r="O13" s="1"/>
  <c r="P13"/>
  <c r="F14"/>
  <c r="N14"/>
  <c r="O14" s="1"/>
  <c r="P14"/>
  <c r="F15"/>
  <c r="N15"/>
  <c r="O15" s="1"/>
  <c r="P15"/>
  <c r="F16"/>
  <c r="N16"/>
  <c r="O16"/>
  <c r="P16"/>
  <c r="F17"/>
  <c r="N17"/>
  <c r="O17"/>
  <c r="P17"/>
  <c r="F18"/>
  <c r="N18"/>
  <c r="O18"/>
  <c r="P18"/>
  <c r="F19"/>
  <c r="N19"/>
  <c r="O19"/>
  <c r="P19"/>
  <c r="F20"/>
  <c r="N20"/>
  <c r="O20"/>
  <c r="P20"/>
  <c r="F21"/>
  <c r="N21"/>
  <c r="O21"/>
  <c r="P21"/>
  <c r="F22"/>
  <c r="N22"/>
  <c r="O22"/>
  <c r="P22"/>
  <c r="F23"/>
  <c r="N23"/>
  <c r="O23"/>
  <c r="P23"/>
  <c r="N24"/>
  <c r="O24" s="1"/>
  <c r="P24"/>
  <c r="N25"/>
  <c r="O25"/>
  <c r="P25"/>
  <c r="N26"/>
  <c r="O26"/>
  <c r="P26"/>
  <c r="N27"/>
  <c r="O27" s="1"/>
  <c r="P27"/>
  <c r="N28"/>
  <c r="O28"/>
  <c r="P28"/>
  <c r="N29"/>
  <c r="O29" s="1"/>
  <c r="P29"/>
  <c r="N30"/>
  <c r="O30"/>
  <c r="P30"/>
  <c r="N31"/>
  <c r="O31" s="1"/>
  <c r="P31"/>
  <c r="N32"/>
  <c r="O32"/>
  <c r="P32"/>
  <c r="N33"/>
  <c r="O33" s="1"/>
  <c r="P33"/>
  <c r="N34"/>
  <c r="O34"/>
  <c r="P34"/>
  <c r="N35"/>
  <c r="O35" s="1"/>
  <c r="P35"/>
  <c r="N36"/>
  <c r="O36"/>
  <c r="P36"/>
  <c r="N37"/>
  <c r="O37" s="1"/>
  <c r="P37"/>
  <c r="N38"/>
  <c r="O38"/>
  <c r="P38"/>
  <c r="N39"/>
  <c r="O39" s="1"/>
  <c r="P39"/>
  <c r="N40"/>
  <c r="O40"/>
  <c r="P40"/>
  <c r="N41"/>
  <c r="O41" s="1"/>
  <c r="P41"/>
  <c r="N42"/>
  <c r="O42"/>
  <c r="P42"/>
  <c r="N43"/>
  <c r="O43" s="1"/>
  <c r="P43"/>
  <c r="N44"/>
  <c r="O44"/>
  <c r="P44"/>
  <c r="N45"/>
  <c r="O45" s="1"/>
  <c r="P45"/>
  <c r="N46"/>
  <c r="O46"/>
  <c r="P46"/>
  <c r="N47"/>
  <c r="O47" s="1"/>
  <c r="P47"/>
  <c r="N48"/>
  <c r="O48"/>
  <c r="N49"/>
  <c r="O49"/>
  <c r="N50"/>
  <c r="O50"/>
  <c r="N51"/>
  <c r="O51"/>
  <c r="N52"/>
  <c r="O52"/>
  <c r="N53"/>
  <c r="O53"/>
  <c r="N54"/>
  <c r="O54"/>
  <c r="N55"/>
  <c r="O55"/>
  <c r="N56"/>
  <c r="O56"/>
  <c r="N57"/>
  <c r="O57"/>
  <c r="N58"/>
  <c r="O58"/>
  <c r="N59"/>
  <c r="O59"/>
  <c r="N60"/>
  <c r="O60"/>
  <c r="N61"/>
  <c r="O61"/>
  <c r="N62"/>
  <c r="O62"/>
  <c r="N63"/>
  <c r="O63"/>
  <c r="N64"/>
  <c r="O64"/>
  <c r="N65"/>
  <c r="O65"/>
  <c r="N66"/>
  <c r="O66"/>
  <c r="N67"/>
  <c r="O67"/>
  <c r="N68"/>
  <c r="O68"/>
  <c r="N69"/>
  <c r="O69"/>
  <c r="N70"/>
  <c r="O70"/>
  <c r="N71"/>
  <c r="O71"/>
  <c r="N72"/>
  <c r="O72"/>
  <c r="N73"/>
  <c r="O73"/>
  <c r="N74"/>
  <c r="O74"/>
  <c r="N75"/>
  <c r="O75"/>
  <c r="N76"/>
  <c r="O76"/>
  <c r="N77"/>
  <c r="O77"/>
  <c r="N78"/>
  <c r="O78"/>
  <c r="N79"/>
  <c r="O79"/>
  <c r="N80"/>
  <c r="O80"/>
  <c r="N81"/>
  <c r="O81"/>
  <c r="N82"/>
  <c r="O82"/>
  <c r="N83"/>
  <c r="O83"/>
  <c r="N84"/>
  <c r="O84"/>
  <c r="N85"/>
  <c r="O85"/>
  <c r="N86"/>
  <c r="O86"/>
  <c r="N87"/>
  <c r="O87"/>
  <c r="N88"/>
  <c r="O88"/>
  <c r="N89"/>
  <c r="O89"/>
  <c r="N90"/>
  <c r="O90"/>
  <c r="N91"/>
  <c r="O91"/>
  <c r="N92"/>
  <c r="O92"/>
  <c r="N93"/>
  <c r="O93"/>
  <c r="N94"/>
  <c r="O94"/>
  <c r="N95"/>
  <c r="O95"/>
  <c r="N96"/>
  <c r="O96"/>
  <c r="N97"/>
  <c r="O97"/>
  <c r="N98"/>
  <c r="O98"/>
  <c r="N99"/>
  <c r="O99"/>
  <c r="N100"/>
  <c r="O100"/>
  <c r="N101"/>
  <c r="O101"/>
  <c r="N102"/>
  <c r="O102"/>
  <c r="N103"/>
  <c r="O103"/>
  <c r="N104"/>
  <c r="O104"/>
  <c r="N105"/>
  <c r="O105"/>
  <c r="N106"/>
  <c r="O106"/>
  <c r="N107"/>
  <c r="O107"/>
  <c r="N108"/>
  <c r="O108"/>
  <c r="N109"/>
  <c r="O109"/>
  <c r="N110"/>
  <c r="O110"/>
  <c r="N111"/>
  <c r="O111"/>
  <c r="N112"/>
  <c r="O112"/>
  <c r="N113"/>
  <c r="O113"/>
  <c r="N114"/>
  <c r="O114"/>
  <c r="N115"/>
  <c r="O115"/>
  <c r="N116"/>
  <c r="O116"/>
  <c r="N117"/>
  <c r="O117"/>
  <c r="N118"/>
  <c r="O118"/>
  <c r="N119"/>
  <c r="O119"/>
  <c r="N120"/>
  <c r="O120"/>
  <c r="N121"/>
  <c r="O121"/>
  <c r="N122"/>
  <c r="O122"/>
  <c r="N123"/>
  <c r="O123"/>
  <c r="N124"/>
  <c r="O124"/>
  <c r="N125"/>
  <c r="O125"/>
  <c r="N126"/>
  <c r="O126"/>
  <c r="N127"/>
  <c r="O127"/>
  <c r="N128"/>
  <c r="O128"/>
  <c r="N129"/>
  <c r="O129"/>
  <c r="N130"/>
  <c r="O130"/>
  <c r="N131"/>
  <c r="O131"/>
  <c r="N132"/>
  <c r="O132"/>
  <c r="N133"/>
  <c r="O133"/>
  <c r="N134"/>
  <c r="O134"/>
  <c r="N135"/>
  <c r="O135"/>
  <c r="N136"/>
  <c r="O136"/>
  <c r="N137"/>
  <c r="O137"/>
  <c r="N138"/>
  <c r="O138"/>
  <c r="N139"/>
  <c r="O139"/>
  <c r="N140"/>
  <c r="O140"/>
  <c r="N141"/>
  <c r="O141"/>
  <c r="N142"/>
  <c r="O142"/>
  <c r="N143"/>
  <c r="O143"/>
  <c r="N144"/>
  <c r="O144"/>
  <c r="N145"/>
  <c r="O145"/>
  <c r="N146"/>
  <c r="O146"/>
  <c r="N147"/>
  <c r="O147"/>
  <c r="N148"/>
  <c r="O148"/>
  <c r="N149"/>
  <c r="O149"/>
  <c r="N150"/>
  <c r="O150"/>
  <c r="N151"/>
  <c r="O151"/>
  <c r="N152"/>
  <c r="O152"/>
  <c r="N153"/>
  <c r="O153"/>
  <c r="N154"/>
  <c r="O154"/>
  <c r="N155"/>
  <c r="O155"/>
  <c r="N156"/>
  <c r="O156"/>
  <c r="N157"/>
  <c r="O157"/>
  <c r="N158"/>
  <c r="O158"/>
  <c r="N159"/>
  <c r="O159"/>
  <c r="N160"/>
  <c r="O160"/>
  <c r="N161"/>
  <c r="O161"/>
  <c r="N162"/>
  <c r="O162"/>
  <c r="N163"/>
  <c r="O163"/>
  <c r="N164"/>
  <c r="O164"/>
  <c r="N165"/>
  <c r="O165"/>
  <c r="N166"/>
  <c r="O166"/>
  <c r="N167"/>
  <c r="O167"/>
  <c r="N168"/>
  <c r="O168"/>
  <c r="N169"/>
  <c r="O169"/>
  <c r="N170"/>
  <c r="O170"/>
  <c r="N171"/>
  <c r="O171"/>
  <c r="N172"/>
  <c r="O172"/>
  <c r="N173"/>
  <c r="O173"/>
  <c r="N174"/>
  <c r="O174"/>
  <c r="N175"/>
  <c r="O175"/>
  <c r="N176"/>
  <c r="O176"/>
  <c r="N177"/>
  <c r="O177"/>
  <c r="N178"/>
  <c r="O178"/>
  <c r="N179"/>
  <c r="O179"/>
  <c r="N180"/>
  <c r="O180"/>
  <c r="N181"/>
  <c r="O181"/>
  <c r="N182"/>
  <c r="O182"/>
  <c r="N183"/>
  <c r="O183"/>
  <c r="N184"/>
  <c r="O184"/>
  <c r="N185"/>
  <c r="O185"/>
  <c r="N186"/>
  <c r="O186"/>
  <c r="N187"/>
  <c r="O187"/>
  <c r="N188"/>
  <c r="O188"/>
  <c r="N189"/>
  <c r="O189"/>
  <c r="N190"/>
  <c r="O190"/>
  <c r="N191"/>
  <c r="O191"/>
  <c r="N192"/>
  <c r="O192"/>
  <c r="N193"/>
  <c r="O193"/>
  <c r="N194"/>
  <c r="O194"/>
  <c r="N195"/>
  <c r="O195"/>
  <c r="N196"/>
  <c r="O196"/>
  <c r="N197"/>
  <c r="O197"/>
  <c r="N198"/>
  <c r="O198"/>
  <c r="N199"/>
  <c r="O199"/>
  <c r="N200"/>
  <c r="O200"/>
  <c r="N201"/>
  <c r="O201"/>
  <c r="N202"/>
  <c r="O202"/>
  <c r="N203"/>
  <c r="O203"/>
  <c r="N204"/>
  <c r="O204"/>
  <c r="N205"/>
  <c r="O205"/>
  <c r="N206"/>
  <c r="O206"/>
  <c r="N207"/>
  <c r="O207"/>
  <c r="N208"/>
  <c r="O208"/>
  <c r="N209"/>
  <c r="O209"/>
  <c r="N210"/>
  <c r="O210"/>
  <c r="N211"/>
  <c r="O211"/>
  <c r="N212"/>
  <c r="O212"/>
  <c r="N213"/>
  <c r="O213"/>
  <c r="N214"/>
  <c r="O214"/>
  <c r="N215"/>
  <c r="O215"/>
  <c r="N216"/>
  <c r="O216"/>
  <c r="N217"/>
  <c r="O217"/>
  <c r="N218"/>
  <c r="O218"/>
  <c r="N219"/>
  <c r="O219"/>
  <c r="N220"/>
  <c r="O220"/>
  <c r="N221"/>
  <c r="O221"/>
  <c r="N222"/>
  <c r="O222"/>
  <c r="N223"/>
  <c r="O223"/>
  <c r="N224"/>
  <c r="O224"/>
  <c r="N225"/>
  <c r="O225"/>
  <c r="N226"/>
  <c r="O226"/>
  <c r="N227"/>
  <c r="O227"/>
  <c r="N228"/>
  <c r="O228"/>
  <c r="N229"/>
  <c r="O229"/>
  <c r="N230"/>
  <c r="O230"/>
  <c r="N231"/>
  <c r="O231"/>
  <c r="N232"/>
  <c r="O232"/>
  <c r="N233"/>
  <c r="O233"/>
  <c r="N234"/>
  <c r="O234"/>
  <c r="N235"/>
  <c r="O235"/>
  <c r="N236"/>
  <c r="O236"/>
  <c r="N237"/>
  <c r="O237"/>
  <c r="N238"/>
  <c r="O238"/>
  <c r="N239"/>
  <c r="O239"/>
  <c r="N240"/>
  <c r="O240"/>
  <c r="N241"/>
  <c r="O241"/>
  <c r="N242"/>
  <c r="O242"/>
  <c r="N243"/>
  <c r="O243"/>
  <c r="N244"/>
  <c r="O244"/>
  <c r="N245"/>
  <c r="O245"/>
  <c r="N246"/>
  <c r="O246"/>
  <c r="N247"/>
  <c r="O247"/>
  <c r="N248"/>
  <c r="O248"/>
  <c r="N249"/>
  <c r="O249"/>
  <c r="N250"/>
  <c r="O250"/>
  <c r="N251"/>
  <c r="O251"/>
  <c r="N252"/>
  <c r="O252"/>
  <c r="N253"/>
  <c r="O253"/>
  <c r="N254"/>
  <c r="O254"/>
  <c r="N255"/>
  <c r="O255"/>
  <c r="N256"/>
  <c r="O256"/>
  <c r="N257"/>
  <c r="O257"/>
  <c r="N258"/>
  <c r="O258"/>
  <c r="N259"/>
  <c r="O259"/>
  <c r="N260"/>
  <c r="O260"/>
  <c r="N261"/>
  <c r="O261"/>
  <c r="N262"/>
  <c r="O262"/>
  <c r="N263"/>
  <c r="O263"/>
  <c r="K2" i="1"/>
  <c r="K3"/>
  <c r="BM16"/>
  <c r="BM17"/>
  <c r="BM19" s="1"/>
  <c r="BM21" s="1"/>
  <c r="BM23" s="1"/>
  <c r="BM25" s="1"/>
  <c r="BM27" s="1"/>
  <c r="BM29" s="1"/>
  <c r="BM18"/>
  <c r="BM20"/>
  <c r="C21"/>
  <c r="H21"/>
  <c r="L21"/>
  <c r="P21"/>
  <c r="T21"/>
  <c r="X21"/>
  <c r="AD21"/>
  <c r="AJ21"/>
  <c r="AP21"/>
  <c r="C22"/>
  <c r="H22"/>
  <c r="L22"/>
  <c r="P22"/>
  <c r="T22"/>
  <c r="X22"/>
  <c r="AD22"/>
  <c r="AJ22"/>
  <c r="AP22"/>
  <c r="BM22"/>
  <c r="C23"/>
  <c r="H23"/>
  <c r="L23"/>
  <c r="P23"/>
  <c r="T23"/>
  <c r="X23"/>
  <c r="AD23"/>
  <c r="AJ23"/>
  <c r="AP23"/>
  <c r="C24"/>
  <c r="H24"/>
  <c r="L24"/>
  <c r="P24"/>
  <c r="T24"/>
  <c r="X24"/>
  <c r="AD24"/>
  <c r="AJ24"/>
  <c r="AP24"/>
  <c r="BM24"/>
  <c r="C25"/>
  <c r="H25"/>
  <c r="L25"/>
  <c r="P25"/>
  <c r="T25"/>
  <c r="X25"/>
  <c r="AD25"/>
  <c r="AJ25"/>
  <c r="AP25"/>
  <c r="C26"/>
  <c r="H26"/>
  <c r="L26"/>
  <c r="P26"/>
  <c r="T26"/>
  <c r="X26"/>
  <c r="AD26"/>
  <c r="AJ26"/>
  <c r="AP26"/>
  <c r="BM26"/>
  <c r="C27"/>
  <c r="H27"/>
  <c r="L27"/>
  <c r="P27"/>
  <c r="T27"/>
  <c r="X27"/>
  <c r="AD27"/>
  <c r="AJ27"/>
  <c r="AP27"/>
  <c r="C28"/>
  <c r="H28"/>
  <c r="L28"/>
  <c r="P28"/>
  <c r="T28"/>
  <c r="X28"/>
  <c r="AD28"/>
  <c r="AJ28"/>
  <c r="AP28"/>
  <c r="BM28"/>
  <c r="C29"/>
  <c r="H29"/>
  <c r="L29"/>
  <c r="P29"/>
  <c r="T29"/>
  <c r="X29"/>
  <c r="AD29"/>
  <c r="AJ29"/>
  <c r="AP29"/>
  <c r="C30"/>
  <c r="H30"/>
  <c r="L30"/>
  <c r="P30"/>
  <c r="T30"/>
  <c r="X30"/>
  <c r="AD30"/>
  <c r="AJ30"/>
  <c r="AP30"/>
  <c r="BM30"/>
  <c r="C31"/>
  <c r="H31"/>
  <c r="L31"/>
  <c r="P31"/>
  <c r="T31"/>
  <c r="X31"/>
  <c r="AD31"/>
  <c r="AJ31"/>
  <c r="AP31"/>
  <c r="BL31"/>
  <c r="BM31"/>
  <c r="C32"/>
  <c r="H32"/>
  <c r="L32"/>
  <c r="P32"/>
  <c r="T32"/>
  <c r="X32"/>
  <c r="AD32"/>
  <c r="AJ32"/>
  <c r="AP32"/>
  <c r="BL32"/>
  <c r="BM32"/>
  <c r="C33"/>
  <c r="H33"/>
  <c r="L33"/>
  <c r="P33"/>
  <c r="T33"/>
  <c r="X33"/>
  <c r="AD33"/>
  <c r="AJ33"/>
  <c r="AP33"/>
  <c r="BL33"/>
  <c r="BM33"/>
  <c r="C34"/>
  <c r="H34"/>
  <c r="L34"/>
  <c r="P34"/>
  <c r="T34"/>
  <c r="X34"/>
  <c r="AD34"/>
  <c r="AJ34"/>
  <c r="AP34"/>
  <c r="BL34"/>
  <c r="BM34"/>
  <c r="C35"/>
  <c r="H35"/>
  <c r="L35"/>
  <c r="P35"/>
  <c r="T35"/>
  <c r="X35"/>
  <c r="AD35"/>
  <c r="AJ35"/>
  <c r="AP35"/>
  <c r="BL35"/>
  <c r="BM35"/>
  <c r="C36"/>
  <c r="H36"/>
  <c r="L36"/>
  <c r="P36"/>
  <c r="T36"/>
  <c r="X36"/>
  <c r="AD36"/>
  <c r="AJ36"/>
  <c r="AP36"/>
  <c r="BL36"/>
  <c r="BM36"/>
  <c r="L37"/>
  <c r="BL37"/>
  <c r="BM37"/>
  <c r="L38"/>
  <c r="BL38"/>
  <c r="BM38"/>
  <c r="L39"/>
  <c r="BL39"/>
  <c r="BM39"/>
  <c r="BM40" s="1"/>
  <c r="L40"/>
  <c r="BL40"/>
  <c r="L41"/>
  <c r="AF41"/>
  <c r="AF40" s="1"/>
  <c r="BL41"/>
  <c r="BM41"/>
  <c r="L42"/>
  <c r="BL42"/>
  <c r="A43"/>
  <c r="L43"/>
  <c r="BL43"/>
  <c r="L44"/>
  <c r="BL44"/>
  <c r="L45"/>
  <c r="AF45"/>
  <c r="AF44" s="1"/>
  <c r="AF43" s="1"/>
  <c r="AF42" s="1"/>
  <c r="BL45"/>
  <c r="D46"/>
  <c r="E46" s="1"/>
  <c r="L46"/>
  <c r="Z46"/>
  <c r="Z45" s="1"/>
  <c r="Z44" s="1"/>
  <c r="Z43" s="1"/>
  <c r="Z42" s="1"/>
  <c r="Z41" s="1"/>
  <c r="Z40" s="1"/>
  <c r="AF46"/>
  <c r="AL46"/>
  <c r="AL45" s="1"/>
  <c r="AL44" s="1"/>
  <c r="AL43" s="1"/>
  <c r="AL42" s="1"/>
  <c r="AL41" s="1"/>
  <c r="AL40" s="1"/>
  <c r="BL46"/>
  <c r="D47"/>
  <c r="F47" s="1"/>
  <c r="L47"/>
  <c r="BL47"/>
  <c r="D48"/>
  <c r="F48" s="1"/>
  <c r="L48"/>
  <c r="BL48"/>
  <c r="B49"/>
  <c r="L49"/>
  <c r="BL49"/>
  <c r="L50"/>
  <c r="BL50"/>
  <c r="L51"/>
  <c r="BL51"/>
  <c r="L52"/>
  <c r="BL52"/>
  <c r="L53"/>
  <c r="BL53"/>
  <c r="L54"/>
  <c r="AR54"/>
  <c r="AR53" s="1"/>
  <c r="AR52" s="1"/>
  <c r="AR51" s="1"/>
  <c r="AR50" s="1"/>
  <c r="AR49" s="1"/>
  <c r="AR48" s="1"/>
  <c r="B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H47" l="1"/>
  <c r="H46"/>
  <c r="H48"/>
  <c r="F46"/>
  <c r="G46"/>
  <c r="B43"/>
  <c r="BM42"/>
  <c r="BM43"/>
  <c r="D49"/>
  <c r="B50"/>
  <c r="E48"/>
  <c r="G48"/>
  <c r="E47"/>
  <c r="G47"/>
  <c r="I46" l="1"/>
  <c r="I47"/>
  <c r="I48"/>
  <c r="F49"/>
  <c r="H49"/>
  <c r="G49"/>
  <c r="E49"/>
  <c r="B51"/>
  <c r="D50"/>
  <c r="BM44"/>
  <c r="BM45"/>
  <c r="H13" i="3"/>
  <c r="I49" i="1" l="1"/>
  <c r="B52"/>
  <c r="D51"/>
  <c r="BM46"/>
  <c r="BM47"/>
  <c r="E50"/>
  <c r="G50"/>
  <c r="F50"/>
  <c r="H50"/>
  <c r="I50" l="1"/>
  <c r="B53"/>
  <c r="D52"/>
  <c r="BM48"/>
  <c r="BM49"/>
  <c r="E51"/>
  <c r="G51"/>
  <c r="F51"/>
  <c r="H51"/>
  <c r="B54" l="1"/>
  <c r="D53"/>
  <c r="I51"/>
  <c r="BM50"/>
  <c r="BM51"/>
  <c r="E52"/>
  <c r="G52"/>
  <c r="F52"/>
  <c r="H52"/>
  <c r="BM52" l="1"/>
  <c r="BM53"/>
  <c r="BM54" s="1"/>
  <c r="B55"/>
  <c r="D54"/>
  <c r="E53"/>
  <c r="G53"/>
  <c r="H53"/>
  <c r="F53"/>
  <c r="I52"/>
  <c r="B56" l="1"/>
  <c r="D55"/>
  <c r="I53"/>
  <c r="E54"/>
  <c r="G54"/>
  <c r="H54"/>
  <c r="F54"/>
  <c r="D56" l="1"/>
  <c r="B57"/>
  <c r="E55"/>
  <c r="G55"/>
  <c r="F55"/>
  <c r="H55"/>
  <c r="I54"/>
  <c r="I55" l="1"/>
  <c r="F56"/>
  <c r="H56"/>
  <c r="G56"/>
  <c r="E56"/>
  <c r="D57"/>
  <c r="B58"/>
  <c r="I56" l="1"/>
  <c r="D58"/>
  <c r="B59"/>
  <c r="F57"/>
  <c r="H57"/>
  <c r="E57"/>
  <c r="G57"/>
  <c r="I57" l="1"/>
  <c r="F58"/>
  <c r="H58"/>
  <c r="G58"/>
  <c r="E58"/>
  <c r="I58" s="1"/>
  <c r="B60"/>
  <c r="D59"/>
  <c r="E59" l="1"/>
  <c r="G59"/>
  <c r="F59"/>
  <c r="H59"/>
  <c r="D60"/>
  <c r="B61"/>
  <c r="I59" l="1"/>
  <c r="F60"/>
  <c r="H60"/>
  <c r="G60"/>
  <c r="E60"/>
  <c r="B62"/>
  <c r="D61"/>
  <c r="I60" l="1"/>
  <c r="E61"/>
  <c r="G61"/>
  <c r="F61"/>
  <c r="H61"/>
  <c r="D62"/>
  <c r="B63"/>
  <c r="I61" l="1"/>
  <c r="F62"/>
  <c r="H62"/>
  <c r="G62"/>
  <c r="E62"/>
  <c r="B64"/>
  <c r="D63"/>
  <c r="I62" l="1"/>
  <c r="E63"/>
  <c r="G63"/>
  <c r="F63"/>
  <c r="H63"/>
  <c r="D64"/>
  <c r="B65"/>
  <c r="F64" l="1"/>
  <c r="H64"/>
  <c r="G64"/>
  <c r="E64"/>
  <c r="I64" s="1"/>
  <c r="I63"/>
  <c r="B66"/>
  <c r="D65"/>
  <c r="E65" l="1"/>
  <c r="G65"/>
  <c r="F65"/>
  <c r="H65"/>
  <c r="D66"/>
  <c r="B67"/>
  <c r="I65" l="1"/>
  <c r="F66"/>
  <c r="H66"/>
  <c r="G66"/>
  <c r="E66"/>
  <c r="B68"/>
  <c r="D67"/>
  <c r="I66" l="1"/>
  <c r="E67"/>
  <c r="I67" s="1"/>
  <c r="G67"/>
  <c r="F67"/>
  <c r="H67"/>
  <c r="D68"/>
  <c r="B69"/>
  <c r="F68" l="1"/>
  <c r="H68"/>
  <c r="G68"/>
  <c r="E68"/>
  <c r="I68" s="1"/>
  <c r="B70"/>
  <c r="D69"/>
  <c r="C43"/>
  <c r="H10" i="3" s="1"/>
  <c r="E69" i="1" l="1"/>
  <c r="G69"/>
  <c r="G44" s="1"/>
  <c r="F69"/>
  <c r="F44" s="1"/>
  <c r="H69"/>
  <c r="H16" i="3"/>
  <c r="D70" i="1"/>
  <c r="B71"/>
  <c r="H44" l="1"/>
  <c r="AP17" s="1"/>
  <c r="G17"/>
  <c r="U17"/>
  <c r="Y19"/>
  <c r="AK19"/>
  <c r="L17"/>
  <c r="M17" s="1"/>
  <c r="AE19"/>
  <c r="AO17"/>
  <c r="B17"/>
  <c r="I69"/>
  <c r="D43" s="1"/>
  <c r="B26" i="3" s="1"/>
  <c r="H43" i="1"/>
  <c r="B72"/>
  <c r="D71"/>
  <c r="F70"/>
  <c r="H70"/>
  <c r="G70"/>
  <c r="E70"/>
  <c r="I70" s="1"/>
  <c r="AD19"/>
  <c r="AD17" s="1"/>
  <c r="AD18" s="1"/>
  <c r="AD39" s="1"/>
  <c r="T17"/>
  <c r="T18" s="1"/>
  <c r="O17"/>
  <c r="K17"/>
  <c r="P17"/>
  <c r="Q17" s="1"/>
  <c r="S17"/>
  <c r="S18" s="1"/>
  <c r="W19"/>
  <c r="W17" s="1"/>
  <c r="W18" s="1"/>
  <c r="W39" s="1"/>
  <c r="AI19"/>
  <c r="AI17" s="1"/>
  <c r="AI18" s="1"/>
  <c r="AI39" s="1"/>
  <c r="F39"/>
  <c r="G39" s="1"/>
  <c r="H17"/>
  <c r="AC19"/>
  <c r="AC17" s="1"/>
  <c r="AC18" s="1"/>
  <c r="AC39" s="1"/>
  <c r="C17" l="1"/>
  <c r="D17" s="1"/>
  <c r="AJ19"/>
  <c r="AJ17" s="1"/>
  <c r="AJ18" s="1"/>
  <c r="AJ39" s="1"/>
  <c r="AJ41" s="1"/>
  <c r="X19"/>
  <c r="X17" s="1"/>
  <c r="X18" s="1"/>
  <c r="X39" s="1"/>
  <c r="X45" s="1"/>
  <c r="H22" i="3"/>
  <c r="AC41" i="1"/>
  <c r="AC45"/>
  <c r="AC42"/>
  <c r="AC43"/>
  <c r="AC46"/>
  <c r="AC47"/>
  <c r="AC40"/>
  <c r="AC44"/>
  <c r="AJ45"/>
  <c r="AJ40"/>
  <c r="AJ46"/>
  <c r="AJ43"/>
  <c r="X41"/>
  <c r="AP49"/>
  <c r="AQ49" s="1"/>
  <c r="AS49" s="1"/>
  <c r="AP48"/>
  <c r="AQ48" s="1"/>
  <c r="AS48" s="1"/>
  <c r="D72"/>
  <c r="B73"/>
  <c r="AO18"/>
  <c r="AO19" s="1"/>
  <c r="AO39" s="1"/>
  <c r="AQ30"/>
  <c r="AQ32"/>
  <c r="AQ34"/>
  <c r="AQ36"/>
  <c r="AQ29"/>
  <c r="AQ31"/>
  <c r="AQ33"/>
  <c r="AQ35"/>
  <c r="Y30"/>
  <c r="Y32"/>
  <c r="Y34"/>
  <c r="Y36"/>
  <c r="Y29"/>
  <c r="Y31"/>
  <c r="Y33"/>
  <c r="Y35"/>
  <c r="I22"/>
  <c r="I24"/>
  <c r="I26"/>
  <c r="I28"/>
  <c r="I30"/>
  <c r="I32"/>
  <c r="I34"/>
  <c r="I36"/>
  <c r="I21"/>
  <c r="I23"/>
  <c r="I25"/>
  <c r="I27"/>
  <c r="I29"/>
  <c r="I31"/>
  <c r="I33"/>
  <c r="I35"/>
  <c r="W40"/>
  <c r="W42"/>
  <c r="W43"/>
  <c r="W44"/>
  <c r="W46"/>
  <c r="W47"/>
  <c r="W45"/>
  <c r="Y45" s="1"/>
  <c r="AA45" s="1"/>
  <c r="W41"/>
  <c r="Y41" s="1"/>
  <c r="AA41" s="1"/>
  <c r="AI40"/>
  <c r="AI42"/>
  <c r="AI43"/>
  <c r="AI44"/>
  <c r="AI46"/>
  <c r="AI41"/>
  <c r="AI45"/>
  <c r="AI47"/>
  <c r="M22"/>
  <c r="BD16" s="1"/>
  <c r="M24"/>
  <c r="BD18" s="1"/>
  <c r="M26"/>
  <c r="BD20" s="1"/>
  <c r="M28"/>
  <c r="BD22" s="1"/>
  <c r="M30"/>
  <c r="BD24" s="1"/>
  <c r="M39"/>
  <c r="BD33" s="1"/>
  <c r="M41"/>
  <c r="BD35" s="1"/>
  <c r="M45"/>
  <c r="BD39" s="1"/>
  <c r="M47"/>
  <c r="BD41" s="1"/>
  <c r="M48"/>
  <c r="BD42" s="1"/>
  <c r="M50"/>
  <c r="BD44" s="1"/>
  <c r="M51"/>
  <c r="BD45" s="1"/>
  <c r="M52"/>
  <c r="BD46" s="1"/>
  <c r="M32"/>
  <c r="BD26" s="1"/>
  <c r="M34"/>
  <c r="BD28" s="1"/>
  <c r="M36"/>
  <c r="BD30" s="1"/>
  <c r="M38"/>
  <c r="BD32" s="1"/>
  <c r="M40"/>
  <c r="BD34" s="1"/>
  <c r="M44"/>
  <c r="BD38" s="1"/>
  <c r="M53"/>
  <c r="BD47" s="1"/>
  <c r="M54"/>
  <c r="BD48" s="1"/>
  <c r="M55"/>
  <c r="BD49" s="1"/>
  <c r="M59"/>
  <c r="BD53" s="1"/>
  <c r="M61"/>
  <c r="BD55" s="1"/>
  <c r="M63"/>
  <c r="BD57" s="1"/>
  <c r="M65"/>
  <c r="BD59" s="1"/>
  <c r="M67"/>
  <c r="BD61" s="1"/>
  <c r="M69"/>
  <c r="BD63" s="1"/>
  <c r="M71"/>
  <c r="BD65" s="1"/>
  <c r="M73"/>
  <c r="BD67" s="1"/>
  <c r="M75"/>
  <c r="BD69" s="1"/>
  <c r="M77"/>
  <c r="BD71" s="1"/>
  <c r="M79"/>
  <c r="BD73" s="1"/>
  <c r="M81"/>
  <c r="BD75" s="1"/>
  <c r="M83"/>
  <c r="BD77" s="1"/>
  <c r="M85"/>
  <c r="BD79" s="1"/>
  <c r="M87"/>
  <c r="BD81" s="1"/>
  <c r="M89"/>
  <c r="BD83" s="1"/>
  <c r="M91"/>
  <c r="BD85" s="1"/>
  <c r="M93"/>
  <c r="BD87" s="1"/>
  <c r="M95"/>
  <c r="BD89" s="1"/>
  <c r="M97"/>
  <c r="BD91" s="1"/>
  <c r="M99"/>
  <c r="BD93" s="1"/>
  <c r="M101"/>
  <c r="BD95" s="1"/>
  <c r="M103"/>
  <c r="BD97" s="1"/>
  <c r="M105"/>
  <c r="BD99" s="1"/>
  <c r="M106"/>
  <c r="BD100" s="1"/>
  <c r="M107"/>
  <c r="BD101" s="1"/>
  <c r="M108"/>
  <c r="BD102" s="1"/>
  <c r="M109"/>
  <c r="BD103" s="1"/>
  <c r="M110"/>
  <c r="BD104" s="1"/>
  <c r="M111"/>
  <c r="BD105" s="1"/>
  <c r="M112"/>
  <c r="BD106" s="1"/>
  <c r="M113"/>
  <c r="BD107" s="1"/>
  <c r="M114"/>
  <c r="BD108" s="1"/>
  <c r="M115"/>
  <c r="BD109" s="1"/>
  <c r="M116"/>
  <c r="BD110" s="1"/>
  <c r="M117"/>
  <c r="BD111" s="1"/>
  <c r="M118"/>
  <c r="BD112" s="1"/>
  <c r="M119"/>
  <c r="BD113" s="1"/>
  <c r="M120"/>
  <c r="BD114" s="1"/>
  <c r="M121"/>
  <c r="BD115" s="1"/>
  <c r="M122"/>
  <c r="BD116" s="1"/>
  <c r="M123"/>
  <c r="BD117" s="1"/>
  <c r="M124"/>
  <c r="BD118" s="1"/>
  <c r="M125"/>
  <c r="BD119" s="1"/>
  <c r="M126"/>
  <c r="BD120" s="1"/>
  <c r="M127"/>
  <c r="BD121" s="1"/>
  <c r="M128"/>
  <c r="BD122" s="1"/>
  <c r="M129"/>
  <c r="BD123" s="1"/>
  <c r="M130"/>
  <c r="BD124" s="1"/>
  <c r="M131"/>
  <c r="BD125" s="1"/>
  <c r="M132"/>
  <c r="BD126" s="1"/>
  <c r="M133"/>
  <c r="BD127" s="1"/>
  <c r="M134"/>
  <c r="BD128" s="1"/>
  <c r="M135"/>
  <c r="BD129" s="1"/>
  <c r="M136"/>
  <c r="BD130" s="1"/>
  <c r="M137"/>
  <c r="BD131" s="1"/>
  <c r="M138"/>
  <c r="BD132" s="1"/>
  <c r="M139"/>
  <c r="BD133" s="1"/>
  <c r="M140"/>
  <c r="BD134" s="1"/>
  <c r="M141"/>
  <c r="BD135" s="1"/>
  <c r="M142"/>
  <c r="BD136" s="1"/>
  <c r="M143"/>
  <c r="BD137" s="1"/>
  <c r="M144"/>
  <c r="BD138" s="1"/>
  <c r="M145"/>
  <c r="BD139" s="1"/>
  <c r="M146"/>
  <c r="BD140" s="1"/>
  <c r="M147"/>
  <c r="BD141" s="1"/>
  <c r="M148"/>
  <c r="BD142" s="1"/>
  <c r="M149"/>
  <c r="BD143" s="1"/>
  <c r="M150"/>
  <c r="BD144" s="1"/>
  <c r="M151"/>
  <c r="BD145" s="1"/>
  <c r="M152"/>
  <c r="BD146" s="1"/>
  <c r="M153"/>
  <c r="BD147" s="1"/>
  <c r="M154"/>
  <c r="BD148" s="1"/>
  <c r="M155"/>
  <c r="BD149" s="1"/>
  <c r="M156"/>
  <c r="BD150" s="1"/>
  <c r="M157"/>
  <c r="BD151" s="1"/>
  <c r="M158"/>
  <c r="BD152" s="1"/>
  <c r="M159"/>
  <c r="BD153" s="1"/>
  <c r="M160"/>
  <c r="BD154" s="1"/>
  <c r="M161"/>
  <c r="BD155" s="1"/>
  <c r="M162"/>
  <c r="BD156" s="1"/>
  <c r="M163"/>
  <c r="BD157" s="1"/>
  <c r="M164"/>
  <c r="BD158" s="1"/>
  <c r="M165"/>
  <c r="BD159" s="1"/>
  <c r="M166"/>
  <c r="BD160" s="1"/>
  <c r="M167"/>
  <c r="BD161" s="1"/>
  <c r="M21"/>
  <c r="BD15" s="1"/>
  <c r="M23"/>
  <c r="BD17" s="1"/>
  <c r="M25"/>
  <c r="BD19" s="1"/>
  <c r="M27"/>
  <c r="BD21" s="1"/>
  <c r="M29"/>
  <c r="BD23" s="1"/>
  <c r="M31"/>
  <c r="BD25" s="1"/>
  <c r="M33"/>
  <c r="BD27" s="1"/>
  <c r="M35"/>
  <c r="BD29" s="1"/>
  <c r="M37"/>
  <c r="BD31" s="1"/>
  <c r="M43"/>
  <c r="BD37" s="1"/>
  <c r="M46"/>
  <c r="BD40" s="1"/>
  <c r="M49"/>
  <c r="BD43" s="1"/>
  <c r="M57"/>
  <c r="BD51" s="1"/>
  <c r="M168"/>
  <c r="BD162" s="1"/>
  <c r="M169"/>
  <c r="BD163" s="1"/>
  <c r="M170"/>
  <c r="BD164" s="1"/>
  <c r="M171"/>
  <c r="BD165" s="1"/>
  <c r="M172"/>
  <c r="BD166" s="1"/>
  <c r="M173"/>
  <c r="BD167" s="1"/>
  <c r="M174"/>
  <c r="BD168" s="1"/>
  <c r="M175"/>
  <c r="BD169" s="1"/>
  <c r="M176"/>
  <c r="BD170" s="1"/>
  <c r="M177"/>
  <c r="BD171" s="1"/>
  <c r="M178"/>
  <c r="BD172" s="1"/>
  <c r="M179"/>
  <c r="BD173" s="1"/>
  <c r="M180"/>
  <c r="BD174" s="1"/>
  <c r="M181"/>
  <c r="BD175" s="1"/>
  <c r="M182"/>
  <c r="BD176" s="1"/>
  <c r="M183"/>
  <c r="BD177" s="1"/>
  <c r="M184"/>
  <c r="BD178" s="1"/>
  <c r="M185"/>
  <c r="BD179" s="1"/>
  <c r="M186"/>
  <c r="BD180" s="1"/>
  <c r="M187"/>
  <c r="BD181" s="1"/>
  <c r="M188"/>
  <c r="BD182" s="1"/>
  <c r="M189"/>
  <c r="BD183" s="1"/>
  <c r="M190"/>
  <c r="BD184" s="1"/>
  <c r="M191"/>
  <c r="BD185" s="1"/>
  <c r="M192"/>
  <c r="BD186" s="1"/>
  <c r="M193"/>
  <c r="BD187" s="1"/>
  <c r="M194"/>
  <c r="BD188" s="1"/>
  <c r="M195"/>
  <c r="BD189" s="1"/>
  <c r="M196"/>
  <c r="BD190" s="1"/>
  <c r="M197"/>
  <c r="BD191" s="1"/>
  <c r="M198"/>
  <c r="BD192" s="1"/>
  <c r="M199"/>
  <c r="BD193" s="1"/>
  <c r="M200"/>
  <c r="BD194" s="1"/>
  <c r="M201"/>
  <c r="BD195" s="1"/>
  <c r="M202"/>
  <c r="BD196" s="1"/>
  <c r="M203"/>
  <c r="BD197" s="1"/>
  <c r="M204"/>
  <c r="BD198" s="1"/>
  <c r="M205"/>
  <c r="BD199" s="1"/>
  <c r="M206"/>
  <c r="BD200" s="1"/>
  <c r="M207"/>
  <c r="BD201" s="1"/>
  <c r="M208"/>
  <c r="BD202" s="1"/>
  <c r="M209"/>
  <c r="BD203" s="1"/>
  <c r="M210"/>
  <c r="BD204" s="1"/>
  <c r="M211"/>
  <c r="BD205" s="1"/>
  <c r="M212"/>
  <c r="BD206" s="1"/>
  <c r="M213"/>
  <c r="BD207" s="1"/>
  <c r="M214"/>
  <c r="BD208" s="1"/>
  <c r="M215"/>
  <c r="BD209" s="1"/>
  <c r="M216"/>
  <c r="BD210" s="1"/>
  <c r="M217"/>
  <c r="BD211" s="1"/>
  <c r="M218"/>
  <c r="BD212" s="1"/>
  <c r="M219"/>
  <c r="BD213" s="1"/>
  <c r="M220"/>
  <c r="BD214" s="1"/>
  <c r="M221"/>
  <c r="BD215" s="1"/>
  <c r="M222"/>
  <c r="BD216" s="1"/>
  <c r="M223"/>
  <c r="BD217" s="1"/>
  <c r="M224"/>
  <c r="BD218" s="1"/>
  <c r="M225"/>
  <c r="BD219" s="1"/>
  <c r="M226"/>
  <c r="BD220" s="1"/>
  <c r="M227"/>
  <c r="BD221" s="1"/>
  <c r="M228"/>
  <c r="BD222" s="1"/>
  <c r="M229"/>
  <c r="BD223" s="1"/>
  <c r="M230"/>
  <c r="BD224" s="1"/>
  <c r="M231"/>
  <c r="BD225" s="1"/>
  <c r="M232"/>
  <c r="BD226" s="1"/>
  <c r="M233"/>
  <c r="BD227" s="1"/>
  <c r="M234"/>
  <c r="BD228" s="1"/>
  <c r="M235"/>
  <c r="BD229" s="1"/>
  <c r="M236"/>
  <c r="BD230" s="1"/>
  <c r="M237"/>
  <c r="BD231" s="1"/>
  <c r="M238"/>
  <c r="BD232" s="1"/>
  <c r="M239"/>
  <c r="BD233" s="1"/>
  <c r="M240"/>
  <c r="BD234" s="1"/>
  <c r="M241"/>
  <c r="BD235" s="1"/>
  <c r="M242"/>
  <c r="BD236" s="1"/>
  <c r="M243"/>
  <c r="BD237" s="1"/>
  <c r="M244"/>
  <c r="BD238" s="1"/>
  <c r="M245"/>
  <c r="BD239" s="1"/>
  <c r="M246"/>
  <c r="BD240" s="1"/>
  <c r="M247"/>
  <c r="BD241" s="1"/>
  <c r="M248"/>
  <c r="BD242" s="1"/>
  <c r="M249"/>
  <c r="BD243" s="1"/>
  <c r="M250"/>
  <c r="BD244" s="1"/>
  <c r="M251"/>
  <c r="BD245" s="1"/>
  <c r="M252"/>
  <c r="BD246" s="1"/>
  <c r="M253"/>
  <c r="BD247" s="1"/>
  <c r="M254"/>
  <c r="BD248" s="1"/>
  <c r="M255"/>
  <c r="BD249" s="1"/>
  <c r="M256"/>
  <c r="BD250" s="1"/>
  <c r="M257"/>
  <c r="BD251" s="1"/>
  <c r="M258"/>
  <c r="BD252" s="1"/>
  <c r="M259"/>
  <c r="BD253" s="1"/>
  <c r="M260"/>
  <c r="BD254" s="1"/>
  <c r="M261"/>
  <c r="BD255" s="1"/>
  <c r="M262"/>
  <c r="BD256" s="1"/>
  <c r="M263"/>
  <c r="BD257" s="1"/>
  <c r="M264"/>
  <c r="BD258" s="1"/>
  <c r="M265"/>
  <c r="BD259" s="1"/>
  <c r="M266"/>
  <c r="BD260" s="1"/>
  <c r="M267"/>
  <c r="BD261" s="1"/>
  <c r="M268"/>
  <c r="BD262" s="1"/>
  <c r="M269"/>
  <c r="BD263" s="1"/>
  <c r="M270"/>
  <c r="BD264" s="1"/>
  <c r="M271"/>
  <c r="BD265" s="1"/>
  <c r="M272"/>
  <c r="BD266" s="1"/>
  <c r="M273"/>
  <c r="BD267" s="1"/>
  <c r="M274"/>
  <c r="BD268" s="1"/>
  <c r="M275"/>
  <c r="BD269" s="1"/>
  <c r="M276"/>
  <c r="BD270" s="1"/>
  <c r="M56"/>
  <c r="BD50" s="1"/>
  <c r="M58"/>
  <c r="BD52" s="1"/>
  <c r="M60"/>
  <c r="BD54" s="1"/>
  <c r="M64"/>
  <c r="BD58" s="1"/>
  <c r="M66"/>
  <c r="BD60" s="1"/>
  <c r="M70"/>
  <c r="BD64" s="1"/>
  <c r="M72"/>
  <c r="BD66" s="1"/>
  <c r="M74"/>
  <c r="BD68" s="1"/>
  <c r="M76"/>
  <c r="BD70" s="1"/>
  <c r="M80"/>
  <c r="BD74" s="1"/>
  <c r="M82"/>
  <c r="BD76" s="1"/>
  <c r="M84"/>
  <c r="BD78" s="1"/>
  <c r="M88"/>
  <c r="BD82" s="1"/>
  <c r="M90"/>
  <c r="BD84" s="1"/>
  <c r="M92"/>
  <c r="BD86" s="1"/>
  <c r="M94"/>
  <c r="BD88" s="1"/>
  <c r="M96"/>
  <c r="BD90" s="1"/>
  <c r="M98"/>
  <c r="BD92" s="1"/>
  <c r="M102"/>
  <c r="BD96" s="1"/>
  <c r="M104"/>
  <c r="BD98" s="1"/>
  <c r="M42"/>
  <c r="BD36" s="1"/>
  <c r="M62"/>
  <c r="BD56" s="1"/>
  <c r="M68"/>
  <c r="BD62" s="1"/>
  <c r="M78"/>
  <c r="BD72" s="1"/>
  <c r="M86"/>
  <c r="BD80" s="1"/>
  <c r="M100"/>
  <c r="BD94" s="1"/>
  <c r="Q22"/>
  <c r="Q24"/>
  <c r="Q26"/>
  <c r="Q28"/>
  <c r="Q30"/>
  <c r="Q32"/>
  <c r="Q34"/>
  <c r="Q36"/>
  <c r="Q21"/>
  <c r="Q23"/>
  <c r="Q25"/>
  <c r="Q27"/>
  <c r="Q29"/>
  <c r="Q31"/>
  <c r="Q33"/>
  <c r="Q35"/>
  <c r="AD40"/>
  <c r="AD42"/>
  <c r="AD43"/>
  <c r="AD44"/>
  <c r="AD46"/>
  <c r="AD47"/>
  <c r="AD41"/>
  <c r="AD45"/>
  <c r="E71"/>
  <c r="I71" s="1"/>
  <c r="G71"/>
  <c r="F71"/>
  <c r="H71"/>
  <c r="AY17"/>
  <c r="AY18"/>
  <c r="AY20"/>
  <c r="AY22"/>
  <c r="AY24"/>
  <c r="AY26"/>
  <c r="AY28"/>
  <c r="AY30"/>
  <c r="AY31"/>
  <c r="AY32"/>
  <c r="AY33"/>
  <c r="AY34"/>
  <c r="AY35"/>
  <c r="AY37"/>
  <c r="AY38"/>
  <c r="E39"/>
  <c r="AY39"/>
  <c r="AY41"/>
  <c r="AY45"/>
  <c r="AY49"/>
  <c r="AY51"/>
  <c r="AY15"/>
  <c r="AY16"/>
  <c r="AY21"/>
  <c r="AY23"/>
  <c r="AY25"/>
  <c r="AY27"/>
  <c r="AY29"/>
  <c r="AY40"/>
  <c r="AY44"/>
  <c r="AY46"/>
  <c r="AY47"/>
  <c r="AY48"/>
  <c r="AY52"/>
  <c r="AY53"/>
  <c r="AY58"/>
  <c r="AY62"/>
  <c r="AY64"/>
  <c r="AY66"/>
  <c r="AY68"/>
  <c r="AY70"/>
  <c r="AY72"/>
  <c r="AY74"/>
  <c r="AY78"/>
  <c r="AY82"/>
  <c r="AY84"/>
  <c r="AY86"/>
  <c r="AY88"/>
  <c r="AY90"/>
  <c r="AY92"/>
  <c r="AY98"/>
  <c r="AY100"/>
  <c r="AY102"/>
  <c r="AY104"/>
  <c r="AY19"/>
  <c r="AY43"/>
  <c r="AY56"/>
  <c r="AY42"/>
  <c r="AY55"/>
  <c r="AY57"/>
  <c r="AY59"/>
  <c r="AY63"/>
  <c r="AY67"/>
  <c r="AY79"/>
  <c r="AY106"/>
  <c r="AY109"/>
  <c r="AY111"/>
  <c r="AY113"/>
  <c r="AY115"/>
  <c r="AY116"/>
  <c r="AY118"/>
  <c r="AY121"/>
  <c r="AY123"/>
  <c r="AY125"/>
  <c r="AY127"/>
  <c r="AY129"/>
  <c r="AY131"/>
  <c r="AY133"/>
  <c r="AY135"/>
  <c r="AY136"/>
  <c r="AY138"/>
  <c r="AY141"/>
  <c r="AY143"/>
  <c r="AY145"/>
  <c r="AY147"/>
  <c r="AY149"/>
  <c r="AY151"/>
  <c r="AY153"/>
  <c r="AY155"/>
  <c r="AY156"/>
  <c r="AY158"/>
  <c r="AY160"/>
  <c r="AY162"/>
  <c r="AY164"/>
  <c r="AY166"/>
  <c r="AY169"/>
  <c r="AY171"/>
  <c r="AY173"/>
  <c r="AY175"/>
  <c r="AY177"/>
  <c r="AY179"/>
  <c r="AY181"/>
  <c r="AY183"/>
  <c r="AY185"/>
  <c r="AY187"/>
  <c r="AY189"/>
  <c r="AY191"/>
  <c r="AY193"/>
  <c r="AY195"/>
  <c r="AY197"/>
  <c r="AY200"/>
  <c r="AY202"/>
  <c r="AY204"/>
  <c r="AY206"/>
  <c r="AY208"/>
  <c r="AY210"/>
  <c r="AY212"/>
  <c r="AY214"/>
  <c r="AY216"/>
  <c r="AY219"/>
  <c r="AY221"/>
  <c r="AY223"/>
  <c r="AY225"/>
  <c r="AY227"/>
  <c r="AY230"/>
  <c r="AY232"/>
  <c r="AY234"/>
  <c r="AY236"/>
  <c r="AY238"/>
  <c r="AY239"/>
  <c r="AY241"/>
  <c r="AY243"/>
  <c r="AY245"/>
  <c r="AY247"/>
  <c r="AY249"/>
  <c r="AY251"/>
  <c r="AY253"/>
  <c r="AY255"/>
  <c r="AY257"/>
  <c r="AY260"/>
  <c r="AY262"/>
  <c r="AY264"/>
  <c r="AY266"/>
  <c r="AY268"/>
  <c r="AY270"/>
  <c r="AY61"/>
  <c r="AY65"/>
  <c r="AY69"/>
  <c r="AY71"/>
  <c r="AY73"/>
  <c r="AY75"/>
  <c r="AY77"/>
  <c r="AY81"/>
  <c r="AY83"/>
  <c r="AY85"/>
  <c r="AY87"/>
  <c r="AY89"/>
  <c r="AY91"/>
  <c r="AY93"/>
  <c r="AY95"/>
  <c r="AY97"/>
  <c r="AY99"/>
  <c r="AY101"/>
  <c r="AY103"/>
  <c r="AY105"/>
  <c r="AY107"/>
  <c r="AY108"/>
  <c r="AY110"/>
  <c r="AY112"/>
  <c r="AY114"/>
  <c r="AY117"/>
  <c r="AY119"/>
  <c r="AY120"/>
  <c r="AY122"/>
  <c r="AY124"/>
  <c r="AY126"/>
  <c r="AY128"/>
  <c r="AY130"/>
  <c r="AY132"/>
  <c r="AY134"/>
  <c r="AY137"/>
  <c r="AY139"/>
  <c r="AY140"/>
  <c r="AY142"/>
  <c r="AY144"/>
  <c r="AY146"/>
  <c r="AY148"/>
  <c r="AY150"/>
  <c r="AY152"/>
  <c r="AY154"/>
  <c r="AY157"/>
  <c r="AY159"/>
  <c r="AY161"/>
  <c r="AY163"/>
  <c r="AY165"/>
  <c r="AY167"/>
  <c r="AY168"/>
  <c r="AY170"/>
  <c r="AY172"/>
  <c r="AY174"/>
  <c r="AY176"/>
  <c r="AY178"/>
  <c r="AY180"/>
  <c r="AY182"/>
  <c r="AY184"/>
  <c r="AY186"/>
  <c r="AY188"/>
  <c r="AY190"/>
  <c r="AY192"/>
  <c r="AY194"/>
  <c r="AY196"/>
  <c r="AY198"/>
  <c r="AY199"/>
  <c r="AY201"/>
  <c r="AY203"/>
  <c r="AY205"/>
  <c r="AY207"/>
  <c r="AY209"/>
  <c r="AY211"/>
  <c r="AY213"/>
  <c r="AY215"/>
  <c r="AY217"/>
  <c r="AY218"/>
  <c r="AY220"/>
  <c r="AY222"/>
  <c r="AY224"/>
  <c r="AY226"/>
  <c r="AY228"/>
  <c r="AY229"/>
  <c r="AY231"/>
  <c r="AY233"/>
  <c r="AY235"/>
  <c r="AY237"/>
  <c r="AY240"/>
  <c r="AY242"/>
  <c r="AY244"/>
  <c r="AY246"/>
  <c r="AY248"/>
  <c r="AY250"/>
  <c r="AY252"/>
  <c r="AY254"/>
  <c r="AY256"/>
  <c r="AY258"/>
  <c r="AY259"/>
  <c r="AY261"/>
  <c r="AY263"/>
  <c r="AY265"/>
  <c r="AY267"/>
  <c r="AY269"/>
  <c r="D22"/>
  <c r="D24"/>
  <c r="D26"/>
  <c r="D28"/>
  <c r="D30"/>
  <c r="D32"/>
  <c r="D34"/>
  <c r="D36"/>
  <c r="D21"/>
  <c r="D23"/>
  <c r="D25"/>
  <c r="D27"/>
  <c r="D29"/>
  <c r="D31"/>
  <c r="D33"/>
  <c r="D35"/>
  <c r="AE30"/>
  <c r="AE32"/>
  <c r="AE34"/>
  <c r="AE36"/>
  <c r="AE29"/>
  <c r="AE31"/>
  <c r="AE33"/>
  <c r="AE35"/>
  <c r="AK30"/>
  <c r="AK32"/>
  <c r="AK34"/>
  <c r="AK36"/>
  <c r="AK29"/>
  <c r="AK31"/>
  <c r="AK33"/>
  <c r="AK35"/>
  <c r="U22"/>
  <c r="U24"/>
  <c r="U26"/>
  <c r="U28"/>
  <c r="U30"/>
  <c r="U32"/>
  <c r="U34"/>
  <c r="U36"/>
  <c r="U21"/>
  <c r="U23"/>
  <c r="U25"/>
  <c r="U27"/>
  <c r="U29"/>
  <c r="U31"/>
  <c r="U33"/>
  <c r="U35"/>
  <c r="AO48" l="1"/>
  <c r="AP50" s="1"/>
  <c r="AQ50" s="1"/>
  <c r="AS50" s="1"/>
  <c r="AO49"/>
  <c r="AP51" s="1"/>
  <c r="AQ51" s="1"/>
  <c r="AS51" s="1"/>
  <c r="AO52"/>
  <c r="AP54" s="1"/>
  <c r="AQ54" s="1"/>
  <c r="AS54" s="1"/>
  <c r="AO51"/>
  <c r="AP53" s="1"/>
  <c r="AQ53" s="1"/>
  <c r="AS53" s="1"/>
  <c r="AO54"/>
  <c r="AO53"/>
  <c r="AP55" s="1"/>
  <c r="AQ55" s="1"/>
  <c r="AS55" s="1"/>
  <c r="AO55"/>
  <c r="AO50"/>
  <c r="AP52" s="1"/>
  <c r="AQ52" s="1"/>
  <c r="AS52" s="1"/>
  <c r="AK45"/>
  <c r="AM45" s="1"/>
  <c r="AK46"/>
  <c r="AM46" s="1"/>
  <c r="AK43"/>
  <c r="AM43" s="1"/>
  <c r="AK40"/>
  <c r="AM40" s="1"/>
  <c r="AJ42"/>
  <c r="AK42" s="1"/>
  <c r="AM42" s="1"/>
  <c r="AJ44"/>
  <c r="AK44" s="1"/>
  <c r="AM44" s="1"/>
  <c r="AJ47"/>
  <c r="AK47" s="1"/>
  <c r="AM47" s="1"/>
  <c r="AK41"/>
  <c r="AM41" s="1"/>
  <c r="X46"/>
  <c r="Y46" s="1"/>
  <c r="AA46" s="1"/>
  <c r="X40"/>
  <c r="Y40" s="1"/>
  <c r="AA40" s="1"/>
  <c r="X42"/>
  <c r="X44"/>
  <c r="Y44" s="1"/>
  <c r="AA44" s="1"/>
  <c r="X43"/>
  <c r="X47"/>
  <c r="Y47" s="1"/>
  <c r="AA47" s="1"/>
  <c r="AY94"/>
  <c r="AY96"/>
  <c r="AY80"/>
  <c r="AY76"/>
  <c r="AY60"/>
  <c r="AY54"/>
  <c r="AY50"/>
  <c r="AY36"/>
  <c r="Y42"/>
  <c r="AA42" s="1"/>
  <c r="Y43"/>
  <c r="AA43" s="1"/>
  <c r="AW25"/>
  <c r="BB25" s="1"/>
  <c r="AW29"/>
  <c r="BB29" s="1"/>
  <c r="AW30"/>
  <c r="BB30" s="1"/>
  <c r="AW26"/>
  <c r="BB26" s="1"/>
  <c r="AW27"/>
  <c r="BB27" s="1"/>
  <c r="AW23"/>
  <c r="BB23" s="1"/>
  <c r="AW28"/>
  <c r="BB28" s="1"/>
  <c r="AW24"/>
  <c r="BB24" s="1"/>
  <c r="F72"/>
  <c r="H72"/>
  <c r="G72"/>
  <c r="E72"/>
  <c r="I72" s="1"/>
  <c r="AS56"/>
  <c r="AS57" s="1"/>
  <c r="AE40"/>
  <c r="AG40" s="1"/>
  <c r="AE46"/>
  <c r="AG46" s="1"/>
  <c r="AE42"/>
  <c r="AG42" s="1"/>
  <c r="AE41"/>
  <c r="AG41" s="1"/>
  <c r="B74"/>
  <c r="D73"/>
  <c r="AE44"/>
  <c r="AG44" s="1"/>
  <c r="AE47"/>
  <c r="AG47" s="1"/>
  <c r="AE43"/>
  <c r="AG43" s="1"/>
  <c r="AE45"/>
  <c r="AG45" s="1"/>
  <c r="AM48" l="1"/>
  <c r="AM49" s="1"/>
  <c r="AK25" s="1"/>
  <c r="AA48"/>
  <c r="AA49" s="1"/>
  <c r="AK24"/>
  <c r="Y24"/>
  <c r="Y25"/>
  <c r="AQ24"/>
  <c r="AW18" s="1"/>
  <c r="BB18" s="1"/>
  <c r="AQ25"/>
  <c r="AW19" s="1"/>
  <c r="BB19" s="1"/>
  <c r="AK27"/>
  <c r="AK28"/>
  <c r="Y27"/>
  <c r="Y28"/>
  <c r="AQ27"/>
  <c r="AW21" s="1"/>
  <c r="BB21" s="1"/>
  <c r="AQ28"/>
  <c r="AW22" s="1"/>
  <c r="BB22" s="1"/>
  <c r="Y23"/>
  <c r="Y26"/>
  <c r="AQ23"/>
  <c r="AQ26"/>
  <c r="AW20" s="1"/>
  <c r="BB20" s="1"/>
  <c r="AK23"/>
  <c r="AK26"/>
  <c r="AQ21"/>
  <c r="AQ22"/>
  <c r="Y21"/>
  <c r="AW15" s="1"/>
  <c r="BB15" s="1"/>
  <c r="Y22"/>
  <c r="AW16" s="1"/>
  <c r="BB16" s="1"/>
  <c r="AK21"/>
  <c r="AK22"/>
  <c r="E73"/>
  <c r="I73" s="1"/>
  <c r="G73"/>
  <c r="F73"/>
  <c r="H73"/>
  <c r="D74"/>
  <c r="B75"/>
  <c r="AG48"/>
  <c r="AG49" s="1"/>
  <c r="AW17" l="1"/>
  <c r="BB17" s="1"/>
  <c r="AE24"/>
  <c r="AE25"/>
  <c r="AE27"/>
  <c r="AE28"/>
  <c r="AE23"/>
  <c r="AE26"/>
  <c r="AE21"/>
  <c r="AE22"/>
  <c r="F74"/>
  <c r="H74"/>
  <c r="G74"/>
  <c r="E74"/>
  <c r="I74" s="1"/>
  <c r="B76"/>
  <c r="D75"/>
  <c r="E75" l="1"/>
  <c r="I75" s="1"/>
  <c r="G75"/>
  <c r="F75"/>
  <c r="H75"/>
  <c r="D76"/>
  <c r="B77"/>
  <c r="F76" l="1"/>
  <c r="H76"/>
  <c r="G76"/>
  <c r="E76"/>
  <c r="I76" s="1"/>
  <c r="B78"/>
  <c r="D77"/>
  <c r="E77" l="1"/>
  <c r="I77" s="1"/>
  <c r="G77"/>
  <c r="F77"/>
  <c r="H77"/>
  <c r="D78"/>
  <c r="B79"/>
  <c r="F78" l="1"/>
  <c r="H78"/>
  <c r="G78"/>
  <c r="E78"/>
  <c r="I78" s="1"/>
  <c r="B80"/>
  <c r="D79"/>
  <c r="E79" l="1"/>
  <c r="I79" s="1"/>
  <c r="G79"/>
  <c r="F79"/>
  <c r="H79"/>
  <c r="D80"/>
  <c r="B81"/>
  <c r="F80" l="1"/>
  <c r="H80"/>
  <c r="G80"/>
  <c r="E80"/>
  <c r="I80" s="1"/>
  <c r="B82"/>
  <c r="D81"/>
  <c r="E81" l="1"/>
  <c r="I81" s="1"/>
  <c r="G81"/>
  <c r="F81"/>
  <c r="H81"/>
  <c r="D82"/>
  <c r="B83"/>
  <c r="F82" l="1"/>
  <c r="H82"/>
  <c r="G82"/>
  <c r="E82"/>
  <c r="I82" s="1"/>
  <c r="B84"/>
  <c r="D83"/>
  <c r="E83" l="1"/>
  <c r="I83" s="1"/>
  <c r="G83"/>
  <c r="F83"/>
  <c r="H83"/>
  <c r="D84"/>
  <c r="B85"/>
  <c r="F84" l="1"/>
  <c r="H84"/>
  <c r="G84"/>
  <c r="E84"/>
  <c r="I84" s="1"/>
  <c r="B86"/>
  <c r="D85"/>
  <c r="E85" l="1"/>
  <c r="I85" s="1"/>
  <c r="G85"/>
  <c r="F85"/>
  <c r="H85"/>
  <c r="D86"/>
  <c r="B87"/>
  <c r="F86" l="1"/>
  <c r="H86"/>
  <c r="G86"/>
  <c r="E86"/>
  <c r="I86" s="1"/>
  <c r="B88"/>
  <c r="D87"/>
  <c r="E87" l="1"/>
  <c r="I87" s="1"/>
  <c r="G87"/>
  <c r="F87"/>
  <c r="H87"/>
  <c r="D88"/>
  <c r="B89"/>
  <c r="F88" l="1"/>
  <c r="H88"/>
  <c r="G88"/>
  <c r="E88"/>
  <c r="I88" s="1"/>
  <c r="B90"/>
  <c r="D89"/>
  <c r="E89" l="1"/>
  <c r="I89" s="1"/>
  <c r="G89"/>
  <c r="F89"/>
  <c r="H89"/>
  <c r="D90"/>
  <c r="B91"/>
  <c r="F90" l="1"/>
  <c r="H90"/>
  <c r="G90"/>
  <c r="E90"/>
  <c r="I90" s="1"/>
  <c r="B92"/>
  <c r="D91"/>
  <c r="E91" l="1"/>
  <c r="I91" s="1"/>
  <c r="G91"/>
  <c r="F91"/>
  <c r="H91"/>
  <c r="D92"/>
  <c r="B93"/>
  <c r="F92" l="1"/>
  <c r="H92"/>
  <c r="G92"/>
  <c r="E92"/>
  <c r="I92" s="1"/>
  <c r="B94"/>
  <c r="D93"/>
  <c r="E93" l="1"/>
  <c r="I93" s="1"/>
  <c r="G93"/>
  <c r="F93"/>
  <c r="H93"/>
  <c r="D94"/>
  <c r="B95"/>
  <c r="F94" l="1"/>
  <c r="H94"/>
  <c r="G94"/>
  <c r="E94"/>
  <c r="I94" s="1"/>
  <c r="B96"/>
  <c r="D95"/>
  <c r="E95" l="1"/>
  <c r="I95" s="1"/>
  <c r="G95"/>
  <c r="F95"/>
  <c r="H95"/>
  <c r="D96"/>
  <c r="B97"/>
  <c r="F96" l="1"/>
  <c r="H96"/>
  <c r="G96"/>
  <c r="E96"/>
  <c r="I96" s="1"/>
  <c r="B98"/>
  <c r="D97"/>
  <c r="E97" l="1"/>
  <c r="I97" s="1"/>
  <c r="G97"/>
  <c r="F97"/>
  <c r="H97"/>
  <c r="D98"/>
  <c r="B99"/>
  <c r="F98" l="1"/>
  <c r="H98"/>
  <c r="G98"/>
  <c r="E98"/>
  <c r="I98" s="1"/>
  <c r="B100"/>
  <c r="D99"/>
  <c r="E99" l="1"/>
  <c r="I99" s="1"/>
  <c r="G99"/>
  <c r="F99"/>
  <c r="H99"/>
  <c r="D100"/>
  <c r="B101"/>
  <c r="F100" l="1"/>
  <c r="H100"/>
  <c r="G100"/>
  <c r="E100"/>
  <c r="I100" s="1"/>
  <c r="B102"/>
  <c r="D101"/>
  <c r="E101" l="1"/>
  <c r="I101" s="1"/>
  <c r="G101"/>
  <c r="F101"/>
  <c r="H101"/>
  <c r="D102"/>
  <c r="B103"/>
  <c r="F102" l="1"/>
  <c r="H102"/>
  <c r="G102"/>
  <c r="E102"/>
  <c r="I102" s="1"/>
  <c r="B104"/>
  <c r="D103"/>
  <c r="E103" l="1"/>
  <c r="I103" s="1"/>
  <c r="G103"/>
  <c r="F103"/>
  <c r="H103"/>
  <c r="D104"/>
  <c r="B105"/>
  <c r="D105" s="1"/>
  <c r="F104" l="1"/>
  <c r="H104"/>
  <c r="G104"/>
  <c r="E104"/>
  <c r="I104" s="1"/>
  <c r="E105"/>
  <c r="I105" s="1"/>
  <c r="G105"/>
  <c r="F105"/>
  <c r="H105"/>
</calcChain>
</file>

<file path=xl/sharedStrings.xml><?xml version="1.0" encoding="utf-8"?>
<sst xmlns="http://schemas.openxmlformats.org/spreadsheetml/2006/main" count="336" uniqueCount="138">
  <si>
    <t>Op-code</t>
  </si>
  <si>
    <t>Operand</t>
  </si>
  <si>
    <t>Description</t>
  </si>
  <si>
    <t>RXY</t>
  </si>
  <si>
    <t>LOAD register "R" with the bit pattern found in the memory cell whose address in XY</t>
  </si>
  <si>
    <t>LOAD register "R" with the bit pattern  XY</t>
  </si>
  <si>
    <t>STORE the bit pattern found in register R in the memory cell whose address is XY</t>
  </si>
  <si>
    <t>0RS</t>
  </si>
  <si>
    <t>MOVE the bit patterns in found in register R to register S</t>
  </si>
  <si>
    <t>RST</t>
  </si>
  <si>
    <t>ADD the bit patterns in registers S and T (two's complement) and leave the result in register R</t>
  </si>
  <si>
    <t>ADD the bit patterns in registers S and T (floating-point notation) and leave the result in register R</t>
  </si>
  <si>
    <t>OR the bit patterns in registers S and T and place the result in register R</t>
  </si>
  <si>
    <t>AND the bit patterns in registers S and T and place the result in register R</t>
  </si>
  <si>
    <t>EXCLUSTIVE OR  the bit patterns in registers S and T and place the result in register R</t>
  </si>
  <si>
    <t>A</t>
  </si>
  <si>
    <t>R0X</t>
  </si>
  <si>
    <t>ROTATE the bit pattern in register R one bit to the right X times</t>
  </si>
  <si>
    <t>B</t>
  </si>
  <si>
    <t>C</t>
  </si>
  <si>
    <t>HALT execution.</t>
  </si>
  <si>
    <t>General Purpose</t>
  </si>
  <si>
    <t>Special Purpose</t>
  </si>
  <si>
    <t>Address</t>
  </si>
  <si>
    <t>Registers</t>
  </si>
  <si>
    <t>Base10</t>
  </si>
  <si>
    <t>Hexidecimal</t>
  </si>
  <si>
    <t>Bit Pattern</t>
  </si>
  <si>
    <t>Memory Cell</t>
  </si>
  <si>
    <t>Program Counter</t>
  </si>
  <si>
    <t>Instruction Register</t>
  </si>
  <si>
    <t>D</t>
  </si>
  <si>
    <t>ALU</t>
  </si>
  <si>
    <t>E</t>
  </si>
  <si>
    <t>F</t>
  </si>
  <si>
    <t>Command</t>
  </si>
  <si>
    <t>Register</t>
  </si>
  <si>
    <t>Result</t>
  </si>
  <si>
    <t>Contents</t>
  </si>
  <si>
    <t>Current Command</t>
  </si>
  <si>
    <t>R1</t>
  </si>
  <si>
    <t>R2</t>
  </si>
  <si>
    <t>Result for Op-code 1</t>
  </si>
  <si>
    <t>Result for Op-code 2</t>
  </si>
  <si>
    <t>Bit Pattern (Hexidecimal)</t>
  </si>
  <si>
    <t>Result for Op-code 3</t>
  </si>
  <si>
    <t>Topaste</t>
  </si>
  <si>
    <t>ToPaste</t>
  </si>
  <si>
    <t>Memory</t>
  </si>
  <si>
    <t>Result for Op-code 4</t>
  </si>
  <si>
    <t>Register 1</t>
  </si>
  <si>
    <t>Register 2</t>
  </si>
  <si>
    <t>Result for Op-code 5</t>
  </si>
  <si>
    <t>Register 3</t>
  </si>
  <si>
    <t>(and 6)</t>
  </si>
  <si>
    <t>Result for Op-code 7</t>
  </si>
  <si>
    <t>binary</t>
  </si>
  <si>
    <t>length</t>
  </si>
  <si>
    <t>OR</t>
  </si>
  <si>
    <t>place</t>
  </si>
  <si>
    <t>step to convert</t>
  </si>
  <si>
    <t>Result for Op-code 8</t>
  </si>
  <si>
    <t>AND</t>
  </si>
  <si>
    <t>Result for Op-code 9</t>
  </si>
  <si>
    <t>Result for Op-code A</t>
  </si>
  <si>
    <t>XOR</t>
  </si>
  <si>
    <t>Rotation to right</t>
  </si>
  <si>
    <t>(must be less than 8)</t>
  </si>
  <si>
    <t>Rotate</t>
  </si>
  <si>
    <t>Write Program Below (Hexidecimal):</t>
  </si>
  <si>
    <t>Example:</t>
  </si>
  <si>
    <t>146D</t>
  </si>
  <si>
    <t>= Load register 4 with the bit pattern found in the memory cell whose address is 6D</t>
  </si>
  <si>
    <t>Fetch</t>
  </si>
  <si>
    <t>Decode</t>
  </si>
  <si>
    <t>Execute</t>
  </si>
  <si>
    <t>R</t>
  </si>
  <si>
    <t xml:space="preserve">LOAD register  </t>
  </si>
  <si>
    <t xml:space="preserve"> XY</t>
  </si>
  <si>
    <t>XY</t>
  </si>
  <si>
    <t xml:space="preserve">R </t>
  </si>
  <si>
    <t xml:space="preserve">STORE the bit pattern found in register </t>
  </si>
  <si>
    <t xml:space="preserve">MOVE the bit patterns in found in register </t>
  </si>
  <si>
    <t>S</t>
  </si>
  <si>
    <t xml:space="preserve">ADD the bit patterns in registers </t>
  </si>
  <si>
    <t xml:space="preserve">S </t>
  </si>
  <si>
    <t xml:space="preserve">T </t>
  </si>
  <si>
    <t xml:space="preserve">EXCLUSTIVE OR  the bit patterns in registers </t>
  </si>
  <si>
    <t xml:space="preserve">ROTATE the bit pattern in register </t>
  </si>
  <si>
    <t xml:space="preserve">X </t>
  </si>
  <si>
    <t>Cycle</t>
  </si>
  <si>
    <t>Phase</t>
  </si>
  <si>
    <t>Instruction</t>
  </si>
  <si>
    <t>Decoding</t>
  </si>
  <si>
    <t>Opcode</t>
  </si>
  <si>
    <t xml:space="preserve"> with the bit pattern  </t>
  </si>
  <si>
    <t xml:space="preserve"> with the bit pattern found in the memory cell whose address is </t>
  </si>
  <si>
    <t xml:space="preserve"> and </t>
  </si>
  <si>
    <t xml:space="preserve"> (two's complement) and leave the result in register </t>
  </si>
  <si>
    <t xml:space="preserve"> (floating-point notation) and leave the result in register </t>
  </si>
  <si>
    <t xml:space="preserve"> and leave the result in register </t>
  </si>
  <si>
    <t xml:space="preserve"> one bit to the right </t>
  </si>
  <si>
    <t>DECODE:</t>
  </si>
  <si>
    <t>Current Cycle</t>
  </si>
  <si>
    <t>Current Registers</t>
  </si>
  <si>
    <t>Current Memory</t>
  </si>
  <si>
    <t>Current Op-code</t>
  </si>
  <si>
    <t>Cycle to Jump To</t>
  </si>
  <si>
    <t>Address for Jump</t>
  </si>
  <si>
    <t>JUMP CODE</t>
  </si>
  <si>
    <t>JUMP TO</t>
  </si>
  <si>
    <t>(IF 1 then exectue jump)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</si>
  <si>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</si>
  <si>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</si>
  <si>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</si>
  <si>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</si>
  <si>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</si>
  <si>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</si>
  <si>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</si>
  <si>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</si>
  <si>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</si>
  <si>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</si>
  <si>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</si>
  <si>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</si>
  <si>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</si>
  <si>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</si>
  <si>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</si>
  <si>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</si>
  <si>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 xml:space="preserve"> in the memory cell whose address is </t>
  </si>
  <si>
    <t xml:space="preserve"> to register </t>
  </si>
  <si>
    <t xml:space="preserve"> times </t>
  </si>
  <si>
    <t>Real "Cycle"</t>
  </si>
  <si>
    <t>JUMP to the instruction located in the memory cell at address XY if the bit pattern in register R is equal to the bit patter in register 0.  Otherwise continue.</t>
  </si>
  <si>
    <t xml:space="preserve"> if the bit pattern in reg</t>
  </si>
  <si>
    <t xml:space="preserve"> is equal to the bit pattern in reg 0.  Otherwise continue.</t>
  </si>
  <si>
    <t>JUMP to the inst located in the mem cell at address</t>
  </si>
  <si>
    <t xml:space="preserve">OR the bit patterns in registers </t>
  </si>
  <si>
    <t xml:space="preserve">AND the bit patterns in registers </t>
  </si>
</sst>
</file>

<file path=xl/styles.xml><?xml version="1.0" encoding="utf-8"?>
<styleSheet xmlns="http://schemas.openxmlformats.org/spreadsheetml/2006/main">
  <numFmts count="1">
    <numFmt numFmtId="164" formatCode="00000.0"/>
  </numFmts>
  <fonts count="13">
    <font>
      <sz val="10"/>
      <name val="Arial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2"/>
      <color indexed="8"/>
      <name val="Calibri"/>
      <family val="2"/>
    </font>
    <font>
      <b/>
      <sz val="14"/>
      <color indexed="8"/>
      <name val="Arial"/>
      <family val="2"/>
    </font>
    <font>
      <b/>
      <sz val="14"/>
      <name val="Wingdings 3"/>
      <family val="1"/>
      <charset val="2"/>
    </font>
    <font>
      <sz val="10"/>
      <color indexed="16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6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/>
    <xf numFmtId="0" fontId="0" fillId="4" borderId="1" xfId="0" applyFill="1" applyBorder="1"/>
    <xf numFmtId="0" fontId="1" fillId="4" borderId="2" xfId="0" applyFont="1" applyFill="1" applyBorder="1" applyAlignment="1"/>
    <xf numFmtId="0" fontId="0" fillId="4" borderId="2" xfId="0" applyFill="1" applyBorder="1" applyAlignment="1">
      <alignment horizontal="center"/>
    </xf>
    <xf numFmtId="0" fontId="0" fillId="4" borderId="3" xfId="0" applyFill="1" applyBorder="1"/>
    <xf numFmtId="0" fontId="1" fillId="3" borderId="4" xfId="0" applyFont="1" applyFill="1" applyBorder="1"/>
    <xf numFmtId="0" fontId="1" fillId="3" borderId="0" xfId="0" applyFont="1" applyFill="1" applyBorder="1" applyAlignment="1">
      <alignment horizontal="center"/>
    </xf>
    <xf numFmtId="0" fontId="1" fillId="3" borderId="5" xfId="0" applyFont="1" applyFill="1" applyBorder="1"/>
    <xf numFmtId="0" fontId="0" fillId="4" borderId="4" xfId="0" applyFill="1" applyBorder="1"/>
    <xf numFmtId="0" fontId="1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/>
    <xf numFmtId="0" fontId="1" fillId="2" borderId="6" xfId="0" applyFont="1" applyFill="1" applyBorder="1" applyAlignment="1">
      <alignment horizontal="center"/>
    </xf>
    <xf numFmtId="164" fontId="1" fillId="3" borderId="0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5" borderId="1" xfId="0" applyFill="1" applyBorder="1"/>
    <xf numFmtId="0" fontId="0" fillId="5" borderId="2" xfId="0" applyFill="1" applyBorder="1"/>
    <xf numFmtId="0" fontId="0" fillId="5" borderId="7" xfId="0" applyFill="1" applyBorder="1"/>
    <xf numFmtId="0" fontId="0" fillId="5" borderId="8" xfId="0" applyFill="1" applyBorder="1"/>
    <xf numFmtId="164" fontId="1" fillId="3" borderId="9" xfId="0" applyNumberFormat="1" applyFont="1" applyFill="1" applyBorder="1" applyAlignment="1">
      <alignment horizontal="center"/>
    </xf>
    <xf numFmtId="164" fontId="2" fillId="3" borderId="10" xfId="0" applyNumberFormat="1" applyFont="1" applyFill="1" applyBorder="1" applyAlignment="1">
      <alignment horizontal="center"/>
    </xf>
    <xf numFmtId="164" fontId="3" fillId="3" borderId="11" xfId="0" applyNumberFormat="1" applyFont="1" applyFill="1" applyBorder="1" applyAlignment="1">
      <alignment horizontal="center"/>
    </xf>
    <xf numFmtId="0" fontId="1" fillId="3" borderId="7" xfId="0" applyFont="1" applyFill="1" applyBorder="1"/>
    <xf numFmtId="0" fontId="1" fillId="3" borderId="8" xfId="0" applyFont="1" applyFill="1" applyBorder="1"/>
    <xf numFmtId="0" fontId="1" fillId="3" borderId="8" xfId="0" applyFont="1" applyFill="1" applyBorder="1" applyAlignment="1">
      <alignment horizontal="center"/>
    </xf>
    <xf numFmtId="0" fontId="1" fillId="3" borderId="12" xfId="0" applyFont="1" applyFill="1" applyBorder="1"/>
    <xf numFmtId="0" fontId="0" fillId="4" borderId="7" xfId="0" applyFill="1" applyBorder="1"/>
    <xf numFmtId="0" fontId="0" fillId="4" borderId="8" xfId="0" applyFill="1" applyBorder="1" applyAlignment="1">
      <alignment horizontal="center"/>
    </xf>
    <xf numFmtId="0" fontId="0" fillId="4" borderId="12" xfId="0" applyFill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12" xfId="0" applyBorder="1"/>
    <xf numFmtId="0" fontId="0" fillId="0" borderId="1" xfId="0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8" xfId="0" applyFill="1" applyBorder="1"/>
    <xf numFmtId="0" fontId="5" fillId="4" borderId="6" xfId="0" applyFont="1" applyFill="1" applyBorder="1" applyAlignment="1">
      <alignment horizontal="center"/>
    </xf>
    <xf numFmtId="0" fontId="5" fillId="4" borderId="6" xfId="0" applyFont="1" applyFill="1" applyBorder="1"/>
    <xf numFmtId="0" fontId="5" fillId="4" borderId="0" xfId="0" applyFont="1" applyFill="1"/>
    <xf numFmtId="0" fontId="5" fillId="4" borderId="6" xfId="0" applyFont="1" applyFill="1" applyBorder="1" applyAlignment="1">
      <alignment wrapText="1"/>
    </xf>
    <xf numFmtId="0" fontId="5" fillId="4" borderId="0" xfId="0" applyFont="1" applyFill="1" applyBorder="1" applyAlignment="1">
      <alignment horizontal="center"/>
    </xf>
    <xf numFmtId="0" fontId="5" fillId="4" borderId="0" xfId="0" quotePrefix="1" applyFont="1" applyFill="1" applyBorder="1" applyAlignment="1">
      <alignment wrapText="1"/>
    </xf>
    <xf numFmtId="0" fontId="5" fillId="2" borderId="6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6" xfId="0" applyFill="1" applyBorder="1"/>
    <xf numFmtId="0" fontId="6" fillId="6" borderId="1" xfId="0" applyFont="1" applyFill="1" applyBorder="1"/>
    <xf numFmtId="0" fontId="6" fillId="6" borderId="2" xfId="0" applyFont="1" applyFill="1" applyBorder="1"/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/>
    <xf numFmtId="0" fontId="6" fillId="6" borderId="8" xfId="0" applyFont="1" applyFill="1" applyBorder="1"/>
    <xf numFmtId="0" fontId="6" fillId="6" borderId="8" xfId="0" applyFont="1" applyFill="1" applyBorder="1" applyAlignment="1">
      <alignment horizontal="center"/>
    </xf>
    <xf numFmtId="0" fontId="6" fillId="6" borderId="12" xfId="0" applyFont="1" applyFill="1" applyBorder="1"/>
    <xf numFmtId="164" fontId="9" fillId="6" borderId="13" xfId="0" applyNumberFormat="1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164" fontId="9" fillId="3" borderId="0" xfId="0" applyNumberFormat="1" applyFont="1" applyFill="1" applyBorder="1" applyAlignment="1">
      <alignment horizontal="center"/>
    </xf>
    <xf numFmtId="0" fontId="0" fillId="7" borderId="0" xfId="0" applyFill="1"/>
    <xf numFmtId="0" fontId="0" fillId="4" borderId="0" xfId="0" quotePrefix="1" applyFill="1" applyBorder="1" applyAlignment="1">
      <alignment horizontal="center"/>
    </xf>
    <xf numFmtId="0" fontId="8" fillId="2" borderId="0" xfId="0" applyFont="1" applyFill="1"/>
    <xf numFmtId="0" fontId="10" fillId="2" borderId="0" xfId="0" applyFont="1" applyFill="1" applyAlignment="1">
      <alignment horizontal="center"/>
    </xf>
    <xf numFmtId="0" fontId="12" fillId="6" borderId="7" xfId="0" applyFont="1" applyFill="1" applyBorder="1"/>
    <xf numFmtId="0" fontId="4" fillId="4" borderId="6" xfId="0" applyFont="1" applyFill="1" applyBorder="1" applyAlignment="1">
      <alignment wrapText="1"/>
    </xf>
    <xf numFmtId="0" fontId="4" fillId="0" borderId="6" xfId="0" applyFont="1" applyFill="1" applyBorder="1"/>
    <xf numFmtId="0" fontId="4" fillId="0" borderId="6" xfId="0" applyFont="1" applyBorder="1"/>
    <xf numFmtId="0" fontId="4" fillId="2" borderId="6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12</xdr:row>
      <xdr:rowOff>142875</xdr:rowOff>
    </xdr:from>
    <xdr:ext cx="1007919" cy="728039"/>
    <xdr:sp macro="" textlink="">
      <xdr:nvSpPr>
        <xdr:cNvPr id="3" name="TextBox 2"/>
        <xdr:cNvSpPr txBox="1"/>
      </xdr:nvSpPr>
      <xdr:spPr>
        <a:xfrm>
          <a:off x="6515100" y="1943100"/>
          <a:ext cx="102855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4000">
              <a:solidFill>
                <a:schemeClr val="bg1">
                  <a:lumMod val="50000"/>
                </a:schemeClr>
              </a:solidFill>
            </a:rPr>
            <a:t>BUS</a:t>
          </a:r>
        </a:p>
      </xdr:txBody>
    </xdr:sp>
    <xdr:clientData/>
  </xdr:oneCellAnchor>
  <xdr:twoCellAnchor editAs="oneCell">
    <xdr:from>
      <xdr:col>3</xdr:col>
      <xdr:colOff>390525</xdr:colOff>
      <xdr:row>0</xdr:row>
      <xdr:rowOff>0</xdr:rowOff>
    </xdr:from>
    <xdr:to>
      <xdr:col>6</xdr:col>
      <xdr:colOff>257175</xdr:colOff>
      <xdr:row>5</xdr:row>
      <xdr:rowOff>104972</xdr:rowOff>
    </xdr:to>
    <xdr:sp macro="" textlink="">
      <xdr:nvSpPr>
        <xdr:cNvPr id="1026" name="TextBox 3"/>
        <xdr:cNvSpPr txBox="1">
          <a:spLocks noChangeArrowheads="1"/>
        </xdr:cNvSpPr>
      </xdr:nvSpPr>
      <xdr:spPr bwMode="auto">
        <a:xfrm>
          <a:off x="3171825" y="0"/>
          <a:ext cx="2305050" cy="990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en-US" sz="6000" b="0" i="0" strike="noStrike">
              <a:solidFill>
                <a:srgbClr val="008000"/>
              </a:solidFill>
              <a:latin typeface="Calibri"/>
            </a:rPr>
            <a:t>CPU</a:t>
          </a:r>
        </a:p>
      </xdr:txBody>
    </xdr:sp>
    <xdr:clientData/>
  </xdr:twoCellAnchor>
  <xdr:twoCellAnchor editAs="oneCell">
    <xdr:from>
      <xdr:col>9</xdr:col>
      <xdr:colOff>657225</xdr:colOff>
      <xdr:row>0</xdr:row>
      <xdr:rowOff>38100</xdr:rowOff>
    </xdr:from>
    <xdr:to>
      <xdr:col>17</xdr:col>
      <xdr:colOff>200025</xdr:colOff>
      <xdr:row>3</xdr:row>
      <xdr:rowOff>142875</xdr:rowOff>
    </xdr:to>
    <xdr:sp macro="" textlink="">
      <xdr:nvSpPr>
        <xdr:cNvPr id="1033" name="TextBox 4"/>
        <xdr:cNvSpPr txBox="1">
          <a:spLocks noChangeArrowheads="1"/>
        </xdr:cNvSpPr>
      </xdr:nvSpPr>
      <xdr:spPr bwMode="auto">
        <a:xfrm>
          <a:off x="8315325" y="38100"/>
          <a:ext cx="4676775" cy="657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4000" b="0" i="0" strike="noStrike">
              <a:solidFill>
                <a:srgbClr val="FFCC00"/>
              </a:solidFill>
              <a:latin typeface="Calibri"/>
            </a:rPr>
            <a:t>MAIN MEMORY</a:t>
          </a:r>
        </a:p>
      </xdr:txBody>
    </xdr:sp>
    <xdr:clientData/>
  </xdr:twoCellAnchor>
  <xdr:twoCellAnchor>
    <xdr:from>
      <xdr:col>17</xdr:col>
      <xdr:colOff>152400</xdr:colOff>
      <xdr:row>7</xdr:row>
      <xdr:rowOff>38100</xdr:rowOff>
    </xdr:from>
    <xdr:to>
      <xdr:col>18</xdr:col>
      <xdr:colOff>85725</xdr:colOff>
      <xdr:row>46</xdr:row>
      <xdr:rowOff>104775</xdr:rowOff>
    </xdr:to>
    <xdr:sp macro="" textlink="">
      <xdr:nvSpPr>
        <xdr:cNvPr id="1034" name="AutoShape 10"/>
        <xdr:cNvSpPr>
          <a:spLocks/>
        </xdr:cNvSpPr>
      </xdr:nvSpPr>
      <xdr:spPr bwMode="auto">
        <a:xfrm>
          <a:off x="12944475" y="1323975"/>
          <a:ext cx="628650" cy="7115175"/>
        </a:xfrm>
        <a:prstGeom prst="rightBrace">
          <a:avLst>
            <a:gd name="adj1" fmla="val 9431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18</xdr:col>
      <xdr:colOff>219075</xdr:colOff>
      <xdr:row>23</xdr:row>
      <xdr:rowOff>190500</xdr:rowOff>
    </xdr:from>
    <xdr:ext cx="2419350" cy="555625"/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3706475" y="4724400"/>
          <a:ext cx="2409825" cy="542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27432" tIns="22860" rIns="0" bIns="0" anchor="t" upright="1">
          <a:spAutoFit/>
        </a:bodyPr>
        <a:lstStyle/>
        <a:p>
          <a:pPr algn="l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The first 40 memory cells</a:t>
          </a:r>
        </a:p>
        <a:p>
          <a:pPr algn="l" rtl="0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are reserved for programs</a:t>
          </a:r>
        </a:p>
      </xdr:txBody>
    </xdr:sp>
    <xdr:clientData/>
  </xdr:oneCellAnchor>
  <xdr:twoCellAnchor editAs="oneCell">
    <xdr:from>
      <xdr:col>1</xdr:col>
      <xdr:colOff>66675</xdr:colOff>
      <xdr:row>0</xdr:row>
      <xdr:rowOff>104775</xdr:rowOff>
    </xdr:from>
    <xdr:to>
      <xdr:col>2</xdr:col>
      <xdr:colOff>219075</xdr:colOff>
      <xdr:row>2</xdr:row>
      <xdr:rowOff>9525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819150" y="104775"/>
          <a:ext cx="7810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Cycle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Q263"/>
  <sheetViews>
    <sheetView tabSelected="1" zoomScale="75" workbookViewId="0">
      <selection activeCell="C8" sqref="C8"/>
    </sheetView>
  </sheetViews>
  <sheetFormatPr defaultColWidth="10.42578125" defaultRowHeight="12.75"/>
  <cols>
    <col min="1" max="1" width="11.28515625" style="1" customWidth="1"/>
    <col min="2" max="2" width="9.42578125" style="1" bestFit="1" customWidth="1"/>
    <col min="3" max="3" width="21" style="1" customWidth="1"/>
    <col min="4" max="4" width="10" style="1" customWidth="1"/>
    <col min="5" max="5" width="14.140625" style="2" bestFit="1" customWidth="1"/>
    <col min="6" max="6" width="12.42578125" style="2" bestFit="1" customWidth="1"/>
    <col min="7" max="7" width="8" style="2" customWidth="1"/>
    <col min="8" max="8" width="23.5703125" style="2" customWidth="1"/>
    <col min="9" max="9" width="5" style="1" customWidth="1"/>
    <col min="10" max="11" width="10.42578125" style="1" customWidth="1"/>
    <col min="12" max="12" width="3.28515625" style="1" customWidth="1"/>
    <col min="13" max="13" width="9" style="2" bestFit="1" customWidth="1"/>
    <col min="14" max="14" width="14.140625" style="2" bestFit="1" customWidth="1"/>
    <col min="15" max="15" width="12.42578125" style="2" bestFit="1" customWidth="1"/>
    <col min="16" max="16" width="14" style="2" bestFit="1" customWidth="1"/>
    <col min="17" max="17" width="3.28515625" style="1" customWidth="1"/>
    <col min="18" max="16384" width="10.42578125" style="1"/>
  </cols>
  <sheetData>
    <row r="3" spans="1:17" ht="18">
      <c r="A3" s="78"/>
      <c r="B3" s="79">
        <v>0</v>
      </c>
    </row>
    <row r="5" spans="1:17" ht="13.5" thickBot="1"/>
    <row r="6" spans="1:17" ht="15.75">
      <c r="B6" s="3"/>
      <c r="C6" s="4" t="s">
        <v>21</v>
      </c>
      <c r="D6" s="4"/>
      <c r="E6" s="4"/>
      <c r="F6" s="4"/>
      <c r="G6" s="4"/>
      <c r="H6" s="4" t="s">
        <v>22</v>
      </c>
      <c r="I6" s="5"/>
      <c r="L6" s="6"/>
      <c r="M6" s="85" t="s">
        <v>23</v>
      </c>
      <c r="N6" s="85"/>
      <c r="O6" s="7"/>
      <c r="P6" s="8"/>
      <c r="Q6" s="9"/>
    </row>
    <row r="7" spans="1:17" ht="15.75">
      <c r="B7" s="10" t="s">
        <v>25</v>
      </c>
      <c r="C7" s="11" t="s">
        <v>24</v>
      </c>
      <c r="D7" s="11"/>
      <c r="E7" s="11" t="s">
        <v>26</v>
      </c>
      <c r="F7" s="11" t="s">
        <v>27</v>
      </c>
      <c r="G7" s="11"/>
      <c r="H7" s="11" t="s">
        <v>24</v>
      </c>
      <c r="I7" s="12"/>
      <c r="L7" s="13"/>
      <c r="M7" s="14" t="s">
        <v>25</v>
      </c>
      <c r="N7" s="14" t="s">
        <v>26</v>
      </c>
      <c r="O7" s="14" t="s">
        <v>27</v>
      </c>
      <c r="P7" s="15" t="s">
        <v>28</v>
      </c>
      <c r="Q7" s="16"/>
    </row>
    <row r="8" spans="1:17" ht="15.75">
      <c r="B8" s="10">
        <v>0</v>
      </c>
      <c r="C8" s="17"/>
      <c r="D8" s="11"/>
      <c r="E8" s="11">
        <v>0</v>
      </c>
      <c r="F8" s="18" t="str">
        <f>HEX2BIN(E8)</f>
        <v>0</v>
      </c>
      <c r="G8" s="18"/>
      <c r="H8" s="19"/>
      <c r="I8" s="12"/>
      <c r="L8" s="13"/>
      <c r="M8" s="15">
        <v>0</v>
      </c>
      <c r="N8" s="15" t="str">
        <f>DEC2HEX(M8)</f>
        <v>0</v>
      </c>
      <c r="O8" s="15" t="str">
        <f t="shared" ref="O8:O71" si="0">HEX2BIN(N8)</f>
        <v>0</v>
      </c>
      <c r="P8" s="20" t="str">
        <f>LEFT('Write a Program'!B17,2)</f>
        <v/>
      </c>
      <c r="Q8" s="16"/>
    </row>
    <row r="9" spans="1:17" ht="15.75">
      <c r="B9" s="10">
        <v>1</v>
      </c>
      <c r="C9" s="17"/>
      <c r="D9" s="11"/>
      <c r="E9" s="11">
        <v>1</v>
      </c>
      <c r="F9" s="18" t="str">
        <f t="shared" ref="F9:F23" si="1">HEX2BIN(E9)</f>
        <v>1</v>
      </c>
      <c r="G9" s="18"/>
      <c r="H9" s="74" t="s">
        <v>29</v>
      </c>
      <c r="I9" s="12"/>
      <c r="L9" s="13"/>
      <c r="M9" s="15">
        <v>1</v>
      </c>
      <c r="N9" s="15" t="str">
        <f>DEC2HEX(M9)</f>
        <v>1</v>
      </c>
      <c r="O9" s="15" t="str">
        <f t="shared" si="0"/>
        <v>1</v>
      </c>
      <c r="P9" s="20" t="str">
        <f>RIGHT('Write a Program'!B17,2)</f>
        <v/>
      </c>
      <c r="Q9" s="16"/>
    </row>
    <row r="10" spans="1:17" ht="16.5" thickBot="1">
      <c r="B10" s="10">
        <v>2</v>
      </c>
      <c r="C10" s="17"/>
      <c r="D10" s="11"/>
      <c r="E10" s="11">
        <v>2</v>
      </c>
      <c r="F10" s="18" t="str">
        <f t="shared" si="1"/>
        <v>10</v>
      </c>
      <c r="G10" s="18"/>
      <c r="H10" s="73" t="str">
        <f>IF(B3=0,"",Details!C43)</f>
        <v/>
      </c>
      <c r="I10" s="12"/>
      <c r="L10" s="13"/>
      <c r="M10" s="15">
        <v>2</v>
      </c>
      <c r="N10" s="15" t="str">
        <f t="shared" ref="N10:N73" si="2">DEC2HEX(M10)</f>
        <v>2</v>
      </c>
      <c r="O10" s="15" t="str">
        <f t="shared" si="0"/>
        <v>10</v>
      </c>
      <c r="P10" s="20" t="str">
        <f>LEFT('Write a Program'!B18,2)</f>
        <v/>
      </c>
      <c r="Q10" s="16"/>
    </row>
    <row r="11" spans="1:17" ht="15.75">
      <c r="B11" s="10">
        <v>3</v>
      </c>
      <c r="C11" s="17"/>
      <c r="D11" s="11"/>
      <c r="E11" s="11">
        <v>3</v>
      </c>
      <c r="F11" s="18" t="str">
        <f t="shared" si="1"/>
        <v>11</v>
      </c>
      <c r="G11" s="18"/>
      <c r="H11" s="18"/>
      <c r="I11" s="12"/>
      <c r="J11" s="21"/>
      <c r="K11" s="22"/>
      <c r="L11" s="13"/>
      <c r="M11" s="15">
        <v>3</v>
      </c>
      <c r="N11" s="15" t="str">
        <f t="shared" si="2"/>
        <v>3</v>
      </c>
      <c r="O11" s="15" t="str">
        <f t="shared" si="0"/>
        <v>11</v>
      </c>
      <c r="P11" s="20" t="str">
        <f>RIGHT('Write a Program'!B18,2)</f>
        <v/>
      </c>
      <c r="Q11" s="16"/>
    </row>
    <row r="12" spans="1:17" ht="16.5" thickBot="1">
      <c r="B12" s="10">
        <v>4</v>
      </c>
      <c r="C12" s="17"/>
      <c r="D12" s="11"/>
      <c r="E12" s="11">
        <v>4</v>
      </c>
      <c r="F12" s="18" t="str">
        <f t="shared" si="1"/>
        <v>100</v>
      </c>
      <c r="G12" s="18"/>
      <c r="H12" s="75" t="s">
        <v>91</v>
      </c>
      <c r="I12" s="12"/>
      <c r="J12" s="23"/>
      <c r="K12" s="24"/>
      <c r="L12" s="13"/>
      <c r="M12" s="15">
        <v>4</v>
      </c>
      <c r="N12" s="15" t="str">
        <f t="shared" si="2"/>
        <v>4</v>
      </c>
      <c r="O12" s="15" t="str">
        <f t="shared" si="0"/>
        <v>100</v>
      </c>
      <c r="P12" s="20" t="str">
        <f>LEFT('Write a Program'!B19,2)</f>
        <v/>
      </c>
      <c r="Q12" s="16"/>
    </row>
    <row r="13" spans="1:17" ht="16.5" thickBot="1">
      <c r="B13" s="10">
        <v>5</v>
      </c>
      <c r="C13" s="17"/>
      <c r="D13" s="11"/>
      <c r="E13" s="11">
        <v>5</v>
      </c>
      <c r="F13" s="18" t="str">
        <f t="shared" si="1"/>
        <v>101</v>
      </c>
      <c r="G13" s="18"/>
      <c r="H13" s="72" t="str">
        <f>IF(B3=0,"",Details!B43)</f>
        <v/>
      </c>
      <c r="I13" s="12"/>
      <c r="L13" s="13"/>
      <c r="M13" s="15">
        <v>5</v>
      </c>
      <c r="N13" s="15" t="str">
        <f t="shared" si="2"/>
        <v>5</v>
      </c>
      <c r="O13" s="15" t="str">
        <f t="shared" si="0"/>
        <v>101</v>
      </c>
      <c r="P13" s="20" t="str">
        <f>RIGHT('Write a Program'!B19,2)</f>
        <v/>
      </c>
      <c r="Q13" s="16"/>
    </row>
    <row r="14" spans="1:17" ht="15.75">
      <c r="B14" s="10">
        <v>6</v>
      </c>
      <c r="C14" s="17"/>
      <c r="D14" s="11"/>
      <c r="E14" s="11">
        <v>6</v>
      </c>
      <c r="F14" s="18" t="str">
        <f t="shared" si="1"/>
        <v>110</v>
      </c>
      <c r="G14" s="18"/>
      <c r="H14" s="18"/>
      <c r="I14" s="12"/>
      <c r="L14" s="13"/>
      <c r="M14" s="15">
        <v>6</v>
      </c>
      <c r="N14" s="15" t="str">
        <f t="shared" si="2"/>
        <v>6</v>
      </c>
      <c r="O14" s="15" t="str">
        <f t="shared" si="0"/>
        <v>110</v>
      </c>
      <c r="P14" s="20" t="str">
        <f>LEFT('Write a Program'!B20,2)</f>
        <v/>
      </c>
      <c r="Q14" s="16"/>
    </row>
    <row r="15" spans="1:17" ht="15.75">
      <c r="B15" s="10">
        <v>7</v>
      </c>
      <c r="C15" s="17"/>
      <c r="D15" s="11"/>
      <c r="E15" s="11">
        <v>7</v>
      </c>
      <c r="F15" s="18" t="str">
        <f t="shared" si="1"/>
        <v>111</v>
      </c>
      <c r="G15" s="18"/>
      <c r="H15" s="74" t="s">
        <v>30</v>
      </c>
      <c r="I15" s="12"/>
      <c r="L15" s="13"/>
      <c r="M15" s="15">
        <v>7</v>
      </c>
      <c r="N15" s="15" t="str">
        <f t="shared" si="2"/>
        <v>7</v>
      </c>
      <c r="O15" s="15" t="str">
        <f t="shared" si="0"/>
        <v>111</v>
      </c>
      <c r="P15" s="20" t="str">
        <f>RIGHT('Write a Program'!B20,2)</f>
        <v/>
      </c>
      <c r="Q15" s="16"/>
    </row>
    <row r="16" spans="1:17" ht="15.75">
      <c r="B16" s="10">
        <v>8</v>
      </c>
      <c r="C16" s="17"/>
      <c r="D16" s="11"/>
      <c r="E16" s="11">
        <v>8</v>
      </c>
      <c r="F16" s="18" t="str">
        <f t="shared" si="1"/>
        <v>1000</v>
      </c>
      <c r="G16" s="18"/>
      <c r="H16" s="73" t="str">
        <f>IF(B3=0,"",VLOOKUP(Details!A43,Details!$A$45:$D$105,4,FALSE))</f>
        <v/>
      </c>
      <c r="I16" s="12"/>
      <c r="L16" s="13"/>
      <c r="M16" s="15">
        <v>8</v>
      </c>
      <c r="N16" s="15" t="str">
        <f t="shared" si="2"/>
        <v>8</v>
      </c>
      <c r="O16" s="15" t="str">
        <f t="shared" si="0"/>
        <v>1000</v>
      </c>
      <c r="P16" s="20" t="str">
        <f>LEFT('Write a Program'!B21,2)</f>
        <v/>
      </c>
      <c r="Q16" s="16"/>
    </row>
    <row r="17" spans="2:17" ht="15.75">
      <c r="B17" s="10">
        <v>9</v>
      </c>
      <c r="C17" s="17"/>
      <c r="D17" s="11"/>
      <c r="E17" s="11">
        <v>9</v>
      </c>
      <c r="F17" s="18" t="str">
        <f t="shared" si="1"/>
        <v>1001</v>
      </c>
      <c r="G17" s="18"/>
      <c r="H17" s="18"/>
      <c r="I17" s="12"/>
      <c r="L17" s="13"/>
      <c r="M17" s="15">
        <v>9</v>
      </c>
      <c r="N17" s="15" t="str">
        <f t="shared" si="2"/>
        <v>9</v>
      </c>
      <c r="O17" s="15" t="str">
        <f t="shared" si="0"/>
        <v>1001</v>
      </c>
      <c r="P17" s="20" t="str">
        <f>RIGHT('Write a Program'!B21,2)</f>
        <v/>
      </c>
      <c r="Q17" s="16"/>
    </row>
    <row r="18" spans="2:17" ht="15.75">
      <c r="B18" s="10">
        <v>10</v>
      </c>
      <c r="C18" s="17"/>
      <c r="D18" s="11"/>
      <c r="E18" s="11" t="s">
        <v>15</v>
      </c>
      <c r="F18" s="18" t="str">
        <f t="shared" si="1"/>
        <v>1010</v>
      </c>
      <c r="G18" s="18"/>
      <c r="H18" s="18"/>
      <c r="I18" s="12"/>
      <c r="L18" s="13"/>
      <c r="M18" s="15">
        <v>10</v>
      </c>
      <c r="N18" s="15" t="str">
        <f t="shared" si="2"/>
        <v>A</v>
      </c>
      <c r="O18" s="15" t="str">
        <f t="shared" si="0"/>
        <v>1010</v>
      </c>
      <c r="P18" s="20" t="str">
        <f>LEFT('Write a Program'!B22,2)</f>
        <v/>
      </c>
      <c r="Q18" s="16"/>
    </row>
    <row r="19" spans="2:17" ht="16.5" thickBot="1">
      <c r="B19" s="10">
        <v>11</v>
      </c>
      <c r="C19" s="17"/>
      <c r="D19" s="11"/>
      <c r="E19" s="11" t="s">
        <v>18</v>
      </c>
      <c r="F19" s="18" t="str">
        <f t="shared" si="1"/>
        <v>1011</v>
      </c>
      <c r="G19" s="18"/>
      <c r="H19" s="18"/>
      <c r="I19" s="12"/>
      <c r="L19" s="13"/>
      <c r="M19" s="15">
        <v>11</v>
      </c>
      <c r="N19" s="15" t="str">
        <f t="shared" si="2"/>
        <v>B</v>
      </c>
      <c r="O19" s="15" t="str">
        <f t="shared" si="0"/>
        <v>1011</v>
      </c>
      <c r="P19" s="20" t="str">
        <f>RIGHT('Write a Program'!B22,2)</f>
        <v/>
      </c>
      <c r="Q19" s="16"/>
    </row>
    <row r="20" spans="2:17" ht="15.75">
      <c r="B20" s="10">
        <v>12</v>
      </c>
      <c r="C20" s="17"/>
      <c r="D20" s="11"/>
      <c r="E20" s="11" t="s">
        <v>19</v>
      </c>
      <c r="F20" s="18" t="str">
        <f t="shared" si="1"/>
        <v>1100</v>
      </c>
      <c r="G20" s="18"/>
      <c r="H20" s="25"/>
      <c r="I20" s="12"/>
      <c r="L20" s="13"/>
      <c r="M20" s="15">
        <v>12</v>
      </c>
      <c r="N20" s="15" t="str">
        <f t="shared" si="2"/>
        <v>C</v>
      </c>
      <c r="O20" s="15" t="str">
        <f t="shared" si="0"/>
        <v>1100</v>
      </c>
      <c r="P20" s="20" t="str">
        <f>LEFT('Write a Program'!B23,2)</f>
        <v/>
      </c>
      <c r="Q20" s="16"/>
    </row>
    <row r="21" spans="2:17" ht="15.75">
      <c r="B21" s="10">
        <v>13</v>
      </c>
      <c r="C21" s="17"/>
      <c r="D21" s="11"/>
      <c r="E21" s="11" t="s">
        <v>31</v>
      </c>
      <c r="F21" s="18" t="str">
        <f t="shared" si="1"/>
        <v>1101</v>
      </c>
      <c r="G21" s="18"/>
      <c r="H21" s="26" t="s">
        <v>32</v>
      </c>
      <c r="I21" s="12"/>
      <c r="L21" s="13"/>
      <c r="M21" s="15">
        <v>13</v>
      </c>
      <c r="N21" s="15" t="str">
        <f t="shared" si="2"/>
        <v>D</v>
      </c>
      <c r="O21" s="15" t="str">
        <f t="shared" si="0"/>
        <v>1101</v>
      </c>
      <c r="P21" s="20" t="str">
        <f>RIGHT('Write a Program'!B23,2)</f>
        <v/>
      </c>
      <c r="Q21" s="16"/>
    </row>
    <row r="22" spans="2:17" ht="16.5" thickBot="1">
      <c r="B22" s="10">
        <v>14</v>
      </c>
      <c r="C22" s="17"/>
      <c r="D22" s="11"/>
      <c r="E22" s="11" t="s">
        <v>33</v>
      </c>
      <c r="F22" s="18" t="str">
        <f t="shared" si="1"/>
        <v>1110</v>
      </c>
      <c r="G22" s="18"/>
      <c r="H22" s="27" t="str">
        <f>IF(B3=0,"",IF(AND(OR(Details!$H$43="4",Details!$H$43="5"),H13="Execute"),"ADDITION!",""))</f>
        <v/>
      </c>
      <c r="I22" s="12"/>
      <c r="L22" s="13"/>
      <c r="M22" s="15">
        <v>14</v>
      </c>
      <c r="N22" s="15" t="str">
        <f t="shared" si="2"/>
        <v>E</v>
      </c>
      <c r="O22" s="15" t="str">
        <f t="shared" si="0"/>
        <v>1110</v>
      </c>
      <c r="P22" s="20" t="str">
        <f>LEFT('Write a Program'!B24,2)</f>
        <v/>
      </c>
      <c r="Q22" s="16"/>
    </row>
    <row r="23" spans="2:17" ht="15.75">
      <c r="B23" s="10">
        <v>15</v>
      </c>
      <c r="C23" s="17"/>
      <c r="D23" s="11"/>
      <c r="E23" s="11" t="s">
        <v>34</v>
      </c>
      <c r="F23" s="18" t="str">
        <f t="shared" si="1"/>
        <v>1111</v>
      </c>
      <c r="G23" s="18"/>
      <c r="H23" s="18"/>
      <c r="I23" s="12"/>
      <c r="L23" s="13"/>
      <c r="M23" s="15">
        <v>15</v>
      </c>
      <c r="N23" s="15" t="str">
        <f t="shared" si="2"/>
        <v>F</v>
      </c>
      <c r="O23" s="15" t="str">
        <f t="shared" si="0"/>
        <v>1111</v>
      </c>
      <c r="P23" s="20" t="str">
        <f>RIGHT('Write a Program'!B24,2)</f>
        <v/>
      </c>
      <c r="Q23" s="16"/>
    </row>
    <row r="24" spans="2:17" ht="16.5" thickBot="1">
      <c r="B24" s="28"/>
      <c r="C24" s="29"/>
      <c r="D24" s="29"/>
      <c r="E24" s="30"/>
      <c r="F24" s="30"/>
      <c r="G24" s="30"/>
      <c r="H24" s="30"/>
      <c r="I24" s="31"/>
      <c r="L24" s="13"/>
      <c r="M24" s="15">
        <v>16</v>
      </c>
      <c r="N24" s="15" t="str">
        <f t="shared" si="2"/>
        <v>10</v>
      </c>
      <c r="O24" s="15" t="str">
        <f t="shared" si="0"/>
        <v>10000</v>
      </c>
      <c r="P24" s="20" t="str">
        <f>LEFT('Write a Program'!B25,2)</f>
        <v/>
      </c>
      <c r="Q24" s="16"/>
    </row>
    <row r="25" spans="2:17">
      <c r="B25" s="65" t="s">
        <v>102</v>
      </c>
      <c r="C25" s="66"/>
      <c r="D25" s="66"/>
      <c r="E25" s="67"/>
      <c r="F25" s="67"/>
      <c r="G25" s="67"/>
      <c r="H25" s="67"/>
      <c r="I25" s="68"/>
      <c r="L25" s="13"/>
      <c r="M25" s="15">
        <v>17</v>
      </c>
      <c r="N25" s="15" t="str">
        <f t="shared" si="2"/>
        <v>11</v>
      </c>
      <c r="O25" s="15" t="str">
        <f t="shared" si="0"/>
        <v>10001</v>
      </c>
      <c r="P25" s="20" t="str">
        <f>RIGHT('Write a Program'!B25,2)</f>
        <v/>
      </c>
      <c r="Q25" s="16"/>
    </row>
    <row r="26" spans="2:17" ht="13.5" thickBot="1">
      <c r="B26" s="80" t="str">
        <f>IF(OR(H13="Decode",H13="Execute"),Details!D43,"")</f>
        <v/>
      </c>
      <c r="C26" s="69"/>
      <c r="D26" s="69"/>
      <c r="E26" s="70"/>
      <c r="F26" s="70"/>
      <c r="G26" s="70"/>
      <c r="H26" s="70"/>
      <c r="I26" s="71"/>
      <c r="L26" s="13"/>
      <c r="M26" s="15">
        <v>18</v>
      </c>
      <c r="N26" s="15" t="str">
        <f t="shared" si="2"/>
        <v>12</v>
      </c>
      <c r="O26" s="15" t="str">
        <f t="shared" si="0"/>
        <v>10010</v>
      </c>
      <c r="P26" s="20" t="str">
        <f>LEFT('Write a Program'!B26,2)</f>
        <v/>
      </c>
      <c r="Q26" s="16"/>
    </row>
    <row r="27" spans="2:17">
      <c r="L27" s="13"/>
      <c r="M27" s="15">
        <v>19</v>
      </c>
      <c r="N27" s="15" t="str">
        <f t="shared" si="2"/>
        <v>13</v>
      </c>
      <c r="O27" s="15" t="str">
        <f t="shared" si="0"/>
        <v>10011</v>
      </c>
      <c r="P27" s="20" t="str">
        <f>RIGHT('Write a Program'!B26,2)</f>
        <v/>
      </c>
      <c r="Q27" s="16"/>
    </row>
    <row r="28" spans="2:17">
      <c r="L28" s="13"/>
      <c r="M28" s="15">
        <v>20</v>
      </c>
      <c r="N28" s="15" t="str">
        <f t="shared" si="2"/>
        <v>14</v>
      </c>
      <c r="O28" s="15" t="str">
        <f t="shared" si="0"/>
        <v>10100</v>
      </c>
      <c r="P28" s="20" t="str">
        <f>LEFT('Write a Program'!B27,2)</f>
        <v/>
      </c>
      <c r="Q28" s="16"/>
    </row>
    <row r="29" spans="2:17">
      <c r="L29" s="13"/>
      <c r="M29" s="15">
        <v>21</v>
      </c>
      <c r="N29" s="15" t="str">
        <f t="shared" si="2"/>
        <v>15</v>
      </c>
      <c r="O29" s="15" t="str">
        <f t="shared" si="0"/>
        <v>10101</v>
      </c>
      <c r="P29" s="20" t="str">
        <f>RIGHT('Write a Program'!B27,2)</f>
        <v/>
      </c>
      <c r="Q29" s="16"/>
    </row>
    <row r="30" spans="2:17">
      <c r="L30" s="13"/>
      <c r="M30" s="15">
        <v>22</v>
      </c>
      <c r="N30" s="15" t="str">
        <f t="shared" si="2"/>
        <v>16</v>
      </c>
      <c r="O30" s="15" t="str">
        <f t="shared" si="0"/>
        <v>10110</v>
      </c>
      <c r="P30" s="20" t="str">
        <f>LEFT('Write a Program'!B28,2)</f>
        <v/>
      </c>
      <c r="Q30" s="16"/>
    </row>
    <row r="31" spans="2:17">
      <c r="L31" s="13"/>
      <c r="M31" s="15">
        <v>23</v>
      </c>
      <c r="N31" s="15" t="str">
        <f t="shared" si="2"/>
        <v>17</v>
      </c>
      <c r="O31" s="15" t="str">
        <f t="shared" si="0"/>
        <v>10111</v>
      </c>
      <c r="P31" s="20" t="str">
        <f>RIGHT('Write a Program'!B28,2)</f>
        <v/>
      </c>
      <c r="Q31" s="16"/>
    </row>
    <row r="32" spans="2:17">
      <c r="L32" s="13"/>
      <c r="M32" s="15">
        <v>24</v>
      </c>
      <c r="N32" s="15" t="str">
        <f t="shared" si="2"/>
        <v>18</v>
      </c>
      <c r="O32" s="15" t="str">
        <f t="shared" si="0"/>
        <v>11000</v>
      </c>
      <c r="P32" s="20" t="str">
        <f>LEFT('Write a Program'!B29,2)</f>
        <v/>
      </c>
      <c r="Q32" s="16"/>
    </row>
    <row r="33" spans="12:17">
      <c r="L33" s="13"/>
      <c r="M33" s="15">
        <v>25</v>
      </c>
      <c r="N33" s="15" t="str">
        <f t="shared" si="2"/>
        <v>19</v>
      </c>
      <c r="O33" s="15" t="str">
        <f t="shared" si="0"/>
        <v>11001</v>
      </c>
      <c r="P33" s="20" t="str">
        <f>RIGHT('Write a Program'!B29,2)</f>
        <v/>
      </c>
      <c r="Q33" s="16"/>
    </row>
    <row r="34" spans="12:17">
      <c r="L34" s="13"/>
      <c r="M34" s="15">
        <v>26</v>
      </c>
      <c r="N34" s="15" t="str">
        <f t="shared" si="2"/>
        <v>1A</v>
      </c>
      <c r="O34" s="15" t="str">
        <f t="shared" si="0"/>
        <v>11010</v>
      </c>
      <c r="P34" s="20" t="str">
        <f>LEFT('Write a Program'!B30,2)</f>
        <v/>
      </c>
      <c r="Q34" s="16"/>
    </row>
    <row r="35" spans="12:17">
      <c r="L35" s="13"/>
      <c r="M35" s="15">
        <v>27</v>
      </c>
      <c r="N35" s="15" t="str">
        <f t="shared" si="2"/>
        <v>1B</v>
      </c>
      <c r="O35" s="15" t="str">
        <f t="shared" si="0"/>
        <v>11011</v>
      </c>
      <c r="P35" s="20" t="str">
        <f>RIGHT('Write a Program'!B30,2)</f>
        <v/>
      </c>
      <c r="Q35" s="16"/>
    </row>
    <row r="36" spans="12:17">
      <c r="L36" s="13"/>
      <c r="M36" s="15">
        <v>28</v>
      </c>
      <c r="N36" s="15" t="str">
        <f t="shared" si="2"/>
        <v>1C</v>
      </c>
      <c r="O36" s="15" t="str">
        <f t="shared" si="0"/>
        <v>11100</v>
      </c>
      <c r="P36" s="20" t="str">
        <f>LEFT('Write a Program'!B31,2)</f>
        <v/>
      </c>
      <c r="Q36" s="16"/>
    </row>
    <row r="37" spans="12:17">
      <c r="L37" s="13"/>
      <c r="M37" s="15">
        <v>29</v>
      </c>
      <c r="N37" s="15" t="str">
        <f t="shared" si="2"/>
        <v>1D</v>
      </c>
      <c r="O37" s="15" t="str">
        <f t="shared" si="0"/>
        <v>11101</v>
      </c>
      <c r="P37" s="20" t="str">
        <f>RIGHT('Write a Program'!B31,2)</f>
        <v/>
      </c>
      <c r="Q37" s="16"/>
    </row>
    <row r="38" spans="12:17">
      <c r="L38" s="13"/>
      <c r="M38" s="15">
        <v>30</v>
      </c>
      <c r="N38" s="15" t="str">
        <f t="shared" si="2"/>
        <v>1E</v>
      </c>
      <c r="O38" s="15" t="str">
        <f t="shared" si="0"/>
        <v>11110</v>
      </c>
      <c r="P38" s="20" t="str">
        <f>LEFT('Write a Program'!B32,2)</f>
        <v/>
      </c>
      <c r="Q38" s="16"/>
    </row>
    <row r="39" spans="12:17">
      <c r="L39" s="13"/>
      <c r="M39" s="15">
        <v>31</v>
      </c>
      <c r="N39" s="15" t="str">
        <f t="shared" si="2"/>
        <v>1F</v>
      </c>
      <c r="O39" s="15" t="str">
        <f t="shared" si="0"/>
        <v>11111</v>
      </c>
      <c r="P39" s="20" t="str">
        <f>RIGHT('Write a Program'!B32,2)</f>
        <v/>
      </c>
      <c r="Q39" s="16"/>
    </row>
    <row r="40" spans="12:17">
      <c r="L40" s="13"/>
      <c r="M40" s="15">
        <v>32</v>
      </c>
      <c r="N40" s="15" t="str">
        <f t="shared" si="2"/>
        <v>20</v>
      </c>
      <c r="O40" s="15" t="str">
        <f t="shared" si="0"/>
        <v>100000</v>
      </c>
      <c r="P40" s="20" t="str">
        <f>LEFT('Write a Program'!B33,2)</f>
        <v/>
      </c>
      <c r="Q40" s="16"/>
    </row>
    <row r="41" spans="12:17">
      <c r="L41" s="13"/>
      <c r="M41" s="15">
        <v>33</v>
      </c>
      <c r="N41" s="15" t="str">
        <f t="shared" si="2"/>
        <v>21</v>
      </c>
      <c r="O41" s="15" t="str">
        <f t="shared" si="0"/>
        <v>100001</v>
      </c>
      <c r="P41" s="20" t="str">
        <f>RIGHT('Write a Program'!B33,2)</f>
        <v/>
      </c>
      <c r="Q41" s="16"/>
    </row>
    <row r="42" spans="12:17">
      <c r="L42" s="13"/>
      <c r="M42" s="15">
        <v>34</v>
      </c>
      <c r="N42" s="15" t="str">
        <f t="shared" si="2"/>
        <v>22</v>
      </c>
      <c r="O42" s="15" t="str">
        <f t="shared" si="0"/>
        <v>100010</v>
      </c>
      <c r="P42" s="20" t="str">
        <f>LEFT('Write a Program'!B34,2)</f>
        <v/>
      </c>
      <c r="Q42" s="16"/>
    </row>
    <row r="43" spans="12:17">
      <c r="L43" s="13"/>
      <c r="M43" s="15">
        <v>35</v>
      </c>
      <c r="N43" s="15" t="str">
        <f t="shared" si="2"/>
        <v>23</v>
      </c>
      <c r="O43" s="15" t="str">
        <f t="shared" si="0"/>
        <v>100011</v>
      </c>
      <c r="P43" s="20" t="str">
        <f>RIGHT('Write a Program'!B34,2)</f>
        <v/>
      </c>
      <c r="Q43" s="16"/>
    </row>
    <row r="44" spans="12:17">
      <c r="L44" s="13"/>
      <c r="M44" s="15">
        <v>36</v>
      </c>
      <c r="N44" s="15" t="str">
        <f t="shared" si="2"/>
        <v>24</v>
      </c>
      <c r="O44" s="15" t="str">
        <f t="shared" si="0"/>
        <v>100100</v>
      </c>
      <c r="P44" s="20" t="str">
        <f>LEFT('Write a Program'!B35,2)</f>
        <v/>
      </c>
      <c r="Q44" s="16"/>
    </row>
    <row r="45" spans="12:17">
      <c r="L45" s="13"/>
      <c r="M45" s="15">
        <v>37</v>
      </c>
      <c r="N45" s="15" t="str">
        <f t="shared" si="2"/>
        <v>25</v>
      </c>
      <c r="O45" s="15" t="str">
        <f t="shared" si="0"/>
        <v>100101</v>
      </c>
      <c r="P45" s="20" t="str">
        <f>RIGHT('Write a Program'!B35,2)</f>
        <v/>
      </c>
      <c r="Q45" s="16"/>
    </row>
    <row r="46" spans="12:17">
      <c r="L46" s="13"/>
      <c r="M46" s="15">
        <v>38</v>
      </c>
      <c r="N46" s="15" t="str">
        <f t="shared" si="2"/>
        <v>26</v>
      </c>
      <c r="O46" s="15" t="str">
        <f t="shared" si="0"/>
        <v>100110</v>
      </c>
      <c r="P46" s="20" t="str">
        <f>LEFT('Write a Program'!B36,2)</f>
        <v/>
      </c>
      <c r="Q46" s="16"/>
    </row>
    <row r="47" spans="12:17">
      <c r="L47" s="13"/>
      <c r="M47" s="15">
        <v>39</v>
      </c>
      <c r="N47" s="15" t="str">
        <f t="shared" si="2"/>
        <v>27</v>
      </c>
      <c r="O47" s="15" t="str">
        <f t="shared" si="0"/>
        <v>100111</v>
      </c>
      <c r="P47" s="20" t="str">
        <f>RIGHT('Write a Program'!B36,2)</f>
        <v/>
      </c>
      <c r="Q47" s="16"/>
    </row>
    <row r="48" spans="12:17">
      <c r="L48" s="13"/>
      <c r="M48" s="15">
        <v>40</v>
      </c>
      <c r="N48" s="15" t="str">
        <f t="shared" si="2"/>
        <v>28</v>
      </c>
      <c r="O48" s="15" t="str">
        <f t="shared" si="0"/>
        <v>101000</v>
      </c>
      <c r="P48" s="20"/>
      <c r="Q48" s="16"/>
    </row>
    <row r="49" spans="12:17">
      <c r="L49" s="13"/>
      <c r="M49" s="15">
        <v>41</v>
      </c>
      <c r="N49" s="15" t="str">
        <f t="shared" si="2"/>
        <v>29</v>
      </c>
      <c r="O49" s="15" t="str">
        <f t="shared" si="0"/>
        <v>101001</v>
      </c>
      <c r="P49" s="20"/>
      <c r="Q49" s="16"/>
    </row>
    <row r="50" spans="12:17">
      <c r="L50" s="13"/>
      <c r="M50" s="15">
        <v>42</v>
      </c>
      <c r="N50" s="15" t="str">
        <f t="shared" si="2"/>
        <v>2A</v>
      </c>
      <c r="O50" s="15" t="str">
        <f t="shared" si="0"/>
        <v>101010</v>
      </c>
      <c r="P50" s="20"/>
      <c r="Q50" s="16"/>
    </row>
    <row r="51" spans="12:17">
      <c r="L51" s="13"/>
      <c r="M51" s="15">
        <v>43</v>
      </c>
      <c r="N51" s="15" t="str">
        <f t="shared" si="2"/>
        <v>2B</v>
      </c>
      <c r="O51" s="15" t="str">
        <f t="shared" si="0"/>
        <v>101011</v>
      </c>
      <c r="P51" s="20"/>
      <c r="Q51" s="16"/>
    </row>
    <row r="52" spans="12:17">
      <c r="L52" s="13"/>
      <c r="M52" s="15">
        <v>44</v>
      </c>
      <c r="N52" s="15" t="str">
        <f t="shared" si="2"/>
        <v>2C</v>
      </c>
      <c r="O52" s="15" t="str">
        <f t="shared" si="0"/>
        <v>101100</v>
      </c>
      <c r="P52" s="20"/>
      <c r="Q52" s="16"/>
    </row>
    <row r="53" spans="12:17">
      <c r="L53" s="13"/>
      <c r="M53" s="15">
        <v>45</v>
      </c>
      <c r="N53" s="15" t="str">
        <f t="shared" si="2"/>
        <v>2D</v>
      </c>
      <c r="O53" s="15" t="str">
        <f t="shared" si="0"/>
        <v>101101</v>
      </c>
      <c r="P53" s="20"/>
      <c r="Q53" s="16"/>
    </row>
    <row r="54" spans="12:17">
      <c r="L54" s="13"/>
      <c r="M54" s="15">
        <v>46</v>
      </c>
      <c r="N54" s="15" t="str">
        <f t="shared" si="2"/>
        <v>2E</v>
      </c>
      <c r="O54" s="15" t="str">
        <f t="shared" si="0"/>
        <v>101110</v>
      </c>
      <c r="P54" s="20"/>
      <c r="Q54" s="16"/>
    </row>
    <row r="55" spans="12:17">
      <c r="L55" s="13"/>
      <c r="M55" s="15">
        <v>47</v>
      </c>
      <c r="N55" s="15" t="str">
        <f t="shared" si="2"/>
        <v>2F</v>
      </c>
      <c r="O55" s="15" t="str">
        <f t="shared" si="0"/>
        <v>101111</v>
      </c>
      <c r="P55" s="20"/>
      <c r="Q55" s="16"/>
    </row>
    <row r="56" spans="12:17">
      <c r="L56" s="13"/>
      <c r="M56" s="15">
        <v>48</v>
      </c>
      <c r="N56" s="15" t="str">
        <f t="shared" si="2"/>
        <v>30</v>
      </c>
      <c r="O56" s="15" t="str">
        <f t="shared" si="0"/>
        <v>110000</v>
      </c>
      <c r="P56" s="20"/>
      <c r="Q56" s="16"/>
    </row>
    <row r="57" spans="12:17">
      <c r="L57" s="13"/>
      <c r="M57" s="15">
        <v>49</v>
      </c>
      <c r="N57" s="15" t="str">
        <f t="shared" si="2"/>
        <v>31</v>
      </c>
      <c r="O57" s="15" t="str">
        <f t="shared" si="0"/>
        <v>110001</v>
      </c>
      <c r="P57" s="20"/>
      <c r="Q57" s="16"/>
    </row>
    <row r="58" spans="12:17">
      <c r="L58" s="13"/>
      <c r="M58" s="15">
        <v>50</v>
      </c>
      <c r="N58" s="15" t="str">
        <f t="shared" si="2"/>
        <v>32</v>
      </c>
      <c r="O58" s="15" t="str">
        <f t="shared" si="0"/>
        <v>110010</v>
      </c>
      <c r="P58" s="20"/>
      <c r="Q58" s="16"/>
    </row>
    <row r="59" spans="12:17">
      <c r="L59" s="13"/>
      <c r="M59" s="15">
        <v>51</v>
      </c>
      <c r="N59" s="15" t="str">
        <f t="shared" si="2"/>
        <v>33</v>
      </c>
      <c r="O59" s="15" t="str">
        <f t="shared" si="0"/>
        <v>110011</v>
      </c>
      <c r="P59" s="20"/>
      <c r="Q59" s="16"/>
    </row>
    <row r="60" spans="12:17">
      <c r="L60" s="13"/>
      <c r="M60" s="15">
        <v>52</v>
      </c>
      <c r="N60" s="15" t="str">
        <f t="shared" si="2"/>
        <v>34</v>
      </c>
      <c r="O60" s="15" t="str">
        <f t="shared" si="0"/>
        <v>110100</v>
      </c>
      <c r="P60" s="20"/>
      <c r="Q60" s="16"/>
    </row>
    <row r="61" spans="12:17">
      <c r="L61" s="13"/>
      <c r="M61" s="15">
        <v>53</v>
      </c>
      <c r="N61" s="15" t="str">
        <f t="shared" si="2"/>
        <v>35</v>
      </c>
      <c r="O61" s="15" t="str">
        <f t="shared" si="0"/>
        <v>110101</v>
      </c>
      <c r="P61" s="20"/>
      <c r="Q61" s="16"/>
    </row>
    <row r="62" spans="12:17">
      <c r="L62" s="13"/>
      <c r="M62" s="15">
        <v>54</v>
      </c>
      <c r="N62" s="15" t="str">
        <f t="shared" si="2"/>
        <v>36</v>
      </c>
      <c r="O62" s="15" t="str">
        <f t="shared" si="0"/>
        <v>110110</v>
      </c>
      <c r="P62" s="20"/>
      <c r="Q62" s="16"/>
    </row>
    <row r="63" spans="12:17">
      <c r="L63" s="13"/>
      <c r="M63" s="15">
        <v>55</v>
      </c>
      <c r="N63" s="15" t="str">
        <f t="shared" si="2"/>
        <v>37</v>
      </c>
      <c r="O63" s="15" t="str">
        <f t="shared" si="0"/>
        <v>110111</v>
      </c>
      <c r="P63" s="20"/>
      <c r="Q63" s="16"/>
    </row>
    <row r="64" spans="12:17">
      <c r="L64" s="13"/>
      <c r="M64" s="15">
        <v>56</v>
      </c>
      <c r="N64" s="15" t="str">
        <f t="shared" si="2"/>
        <v>38</v>
      </c>
      <c r="O64" s="15" t="str">
        <f t="shared" si="0"/>
        <v>111000</v>
      </c>
      <c r="P64" s="20"/>
      <c r="Q64" s="16"/>
    </row>
    <row r="65" spans="12:17">
      <c r="L65" s="13"/>
      <c r="M65" s="15">
        <v>57</v>
      </c>
      <c r="N65" s="15" t="str">
        <f t="shared" si="2"/>
        <v>39</v>
      </c>
      <c r="O65" s="15" t="str">
        <f t="shared" si="0"/>
        <v>111001</v>
      </c>
      <c r="P65" s="20"/>
      <c r="Q65" s="16"/>
    </row>
    <row r="66" spans="12:17">
      <c r="L66" s="13"/>
      <c r="M66" s="15">
        <v>58</v>
      </c>
      <c r="N66" s="15" t="str">
        <f t="shared" si="2"/>
        <v>3A</v>
      </c>
      <c r="O66" s="15" t="str">
        <f t="shared" si="0"/>
        <v>111010</v>
      </c>
      <c r="P66" s="20"/>
      <c r="Q66" s="16"/>
    </row>
    <row r="67" spans="12:17">
      <c r="L67" s="13"/>
      <c r="M67" s="15">
        <v>59</v>
      </c>
      <c r="N67" s="15" t="str">
        <f t="shared" si="2"/>
        <v>3B</v>
      </c>
      <c r="O67" s="15" t="str">
        <f t="shared" si="0"/>
        <v>111011</v>
      </c>
      <c r="P67" s="20"/>
      <c r="Q67" s="16"/>
    </row>
    <row r="68" spans="12:17">
      <c r="L68" s="13"/>
      <c r="M68" s="15">
        <v>60</v>
      </c>
      <c r="N68" s="15" t="str">
        <f t="shared" si="2"/>
        <v>3C</v>
      </c>
      <c r="O68" s="15" t="str">
        <f t="shared" si="0"/>
        <v>111100</v>
      </c>
      <c r="P68" s="20"/>
      <c r="Q68" s="16"/>
    </row>
    <row r="69" spans="12:17">
      <c r="L69" s="13"/>
      <c r="M69" s="15">
        <v>61</v>
      </c>
      <c r="N69" s="15" t="str">
        <f t="shared" si="2"/>
        <v>3D</v>
      </c>
      <c r="O69" s="15" t="str">
        <f t="shared" si="0"/>
        <v>111101</v>
      </c>
      <c r="P69" s="20"/>
      <c r="Q69" s="16"/>
    </row>
    <row r="70" spans="12:17">
      <c r="L70" s="13"/>
      <c r="M70" s="15">
        <v>62</v>
      </c>
      <c r="N70" s="15" t="str">
        <f t="shared" si="2"/>
        <v>3E</v>
      </c>
      <c r="O70" s="15" t="str">
        <f t="shared" si="0"/>
        <v>111110</v>
      </c>
      <c r="P70" s="20"/>
      <c r="Q70" s="16"/>
    </row>
    <row r="71" spans="12:17">
      <c r="L71" s="13"/>
      <c r="M71" s="15">
        <v>63</v>
      </c>
      <c r="N71" s="15" t="str">
        <f t="shared" si="2"/>
        <v>3F</v>
      </c>
      <c r="O71" s="15" t="str">
        <f t="shared" si="0"/>
        <v>111111</v>
      </c>
      <c r="P71" s="20"/>
      <c r="Q71" s="16"/>
    </row>
    <row r="72" spans="12:17">
      <c r="L72" s="13"/>
      <c r="M72" s="15">
        <v>64</v>
      </c>
      <c r="N72" s="15" t="str">
        <f t="shared" si="2"/>
        <v>40</v>
      </c>
      <c r="O72" s="15" t="str">
        <f t="shared" ref="O72:O135" si="3">HEX2BIN(N72)</f>
        <v>1000000</v>
      </c>
      <c r="P72" s="20"/>
      <c r="Q72" s="16"/>
    </row>
    <row r="73" spans="12:17">
      <c r="L73" s="13"/>
      <c r="M73" s="15">
        <v>65</v>
      </c>
      <c r="N73" s="15" t="str">
        <f t="shared" si="2"/>
        <v>41</v>
      </c>
      <c r="O73" s="15" t="str">
        <f t="shared" si="3"/>
        <v>1000001</v>
      </c>
      <c r="P73" s="20"/>
      <c r="Q73" s="16"/>
    </row>
    <row r="74" spans="12:17">
      <c r="L74" s="13"/>
      <c r="M74" s="15">
        <v>66</v>
      </c>
      <c r="N74" s="15" t="str">
        <f t="shared" ref="N74:N137" si="4">DEC2HEX(M74)</f>
        <v>42</v>
      </c>
      <c r="O74" s="15" t="str">
        <f t="shared" si="3"/>
        <v>1000010</v>
      </c>
      <c r="P74" s="20"/>
      <c r="Q74" s="16"/>
    </row>
    <row r="75" spans="12:17">
      <c r="L75" s="13"/>
      <c r="M75" s="15">
        <v>67</v>
      </c>
      <c r="N75" s="15" t="str">
        <f t="shared" si="4"/>
        <v>43</v>
      </c>
      <c r="O75" s="15" t="str">
        <f t="shared" si="3"/>
        <v>1000011</v>
      </c>
      <c r="P75" s="20"/>
      <c r="Q75" s="16"/>
    </row>
    <row r="76" spans="12:17">
      <c r="L76" s="13"/>
      <c r="M76" s="15">
        <v>68</v>
      </c>
      <c r="N76" s="15" t="str">
        <f t="shared" si="4"/>
        <v>44</v>
      </c>
      <c r="O76" s="15" t="str">
        <f t="shared" si="3"/>
        <v>1000100</v>
      </c>
      <c r="P76" s="20"/>
      <c r="Q76" s="16"/>
    </row>
    <row r="77" spans="12:17">
      <c r="L77" s="13"/>
      <c r="M77" s="15">
        <v>69</v>
      </c>
      <c r="N77" s="15" t="str">
        <f t="shared" si="4"/>
        <v>45</v>
      </c>
      <c r="O77" s="15" t="str">
        <f t="shared" si="3"/>
        <v>1000101</v>
      </c>
      <c r="P77" s="20"/>
      <c r="Q77" s="16"/>
    </row>
    <row r="78" spans="12:17">
      <c r="L78" s="13"/>
      <c r="M78" s="15">
        <v>70</v>
      </c>
      <c r="N78" s="15" t="str">
        <f t="shared" si="4"/>
        <v>46</v>
      </c>
      <c r="O78" s="15" t="str">
        <f t="shared" si="3"/>
        <v>1000110</v>
      </c>
      <c r="P78" s="20"/>
      <c r="Q78" s="16"/>
    </row>
    <row r="79" spans="12:17">
      <c r="L79" s="13"/>
      <c r="M79" s="15">
        <v>71</v>
      </c>
      <c r="N79" s="15" t="str">
        <f t="shared" si="4"/>
        <v>47</v>
      </c>
      <c r="O79" s="15" t="str">
        <f t="shared" si="3"/>
        <v>1000111</v>
      </c>
      <c r="P79" s="20"/>
      <c r="Q79" s="16"/>
    </row>
    <row r="80" spans="12:17">
      <c r="L80" s="13"/>
      <c r="M80" s="15">
        <v>72</v>
      </c>
      <c r="N80" s="15" t="str">
        <f t="shared" si="4"/>
        <v>48</v>
      </c>
      <c r="O80" s="15" t="str">
        <f t="shared" si="3"/>
        <v>1001000</v>
      </c>
      <c r="P80" s="20"/>
      <c r="Q80" s="16"/>
    </row>
    <row r="81" spans="12:17">
      <c r="L81" s="13"/>
      <c r="M81" s="15">
        <v>73</v>
      </c>
      <c r="N81" s="15" t="str">
        <f t="shared" si="4"/>
        <v>49</v>
      </c>
      <c r="O81" s="15" t="str">
        <f t="shared" si="3"/>
        <v>1001001</v>
      </c>
      <c r="P81" s="20"/>
      <c r="Q81" s="16"/>
    </row>
    <row r="82" spans="12:17">
      <c r="L82" s="13"/>
      <c r="M82" s="15">
        <v>74</v>
      </c>
      <c r="N82" s="15" t="str">
        <f t="shared" si="4"/>
        <v>4A</v>
      </c>
      <c r="O82" s="15" t="str">
        <f t="shared" si="3"/>
        <v>1001010</v>
      </c>
      <c r="P82" s="20"/>
      <c r="Q82" s="16"/>
    </row>
    <row r="83" spans="12:17">
      <c r="L83" s="13"/>
      <c r="M83" s="15">
        <v>75</v>
      </c>
      <c r="N83" s="15" t="str">
        <f t="shared" si="4"/>
        <v>4B</v>
      </c>
      <c r="O83" s="15" t="str">
        <f t="shared" si="3"/>
        <v>1001011</v>
      </c>
      <c r="P83" s="20"/>
      <c r="Q83" s="16"/>
    </row>
    <row r="84" spans="12:17">
      <c r="L84" s="13"/>
      <c r="M84" s="15">
        <v>76</v>
      </c>
      <c r="N84" s="15" t="str">
        <f t="shared" si="4"/>
        <v>4C</v>
      </c>
      <c r="O84" s="15" t="str">
        <f t="shared" si="3"/>
        <v>1001100</v>
      </c>
      <c r="P84" s="20"/>
      <c r="Q84" s="16"/>
    </row>
    <row r="85" spans="12:17">
      <c r="L85" s="13"/>
      <c r="M85" s="15">
        <v>77</v>
      </c>
      <c r="N85" s="15" t="str">
        <f t="shared" si="4"/>
        <v>4D</v>
      </c>
      <c r="O85" s="15" t="str">
        <f t="shared" si="3"/>
        <v>1001101</v>
      </c>
      <c r="P85" s="20"/>
      <c r="Q85" s="16"/>
    </row>
    <row r="86" spans="12:17">
      <c r="L86" s="13"/>
      <c r="M86" s="15">
        <v>78</v>
      </c>
      <c r="N86" s="15" t="str">
        <f t="shared" si="4"/>
        <v>4E</v>
      </c>
      <c r="O86" s="15" t="str">
        <f t="shared" si="3"/>
        <v>1001110</v>
      </c>
      <c r="P86" s="20"/>
      <c r="Q86" s="16"/>
    </row>
    <row r="87" spans="12:17">
      <c r="L87" s="13"/>
      <c r="M87" s="15">
        <v>79</v>
      </c>
      <c r="N87" s="15" t="str">
        <f t="shared" si="4"/>
        <v>4F</v>
      </c>
      <c r="O87" s="15" t="str">
        <f t="shared" si="3"/>
        <v>1001111</v>
      </c>
      <c r="P87" s="20"/>
      <c r="Q87" s="16"/>
    </row>
    <row r="88" spans="12:17">
      <c r="L88" s="13"/>
      <c r="M88" s="15">
        <v>80</v>
      </c>
      <c r="N88" s="15" t="str">
        <f t="shared" si="4"/>
        <v>50</v>
      </c>
      <c r="O88" s="15" t="str">
        <f t="shared" si="3"/>
        <v>1010000</v>
      </c>
      <c r="P88" s="20"/>
      <c r="Q88" s="16"/>
    </row>
    <row r="89" spans="12:17">
      <c r="L89" s="13"/>
      <c r="M89" s="15">
        <v>81</v>
      </c>
      <c r="N89" s="15" t="str">
        <f t="shared" si="4"/>
        <v>51</v>
      </c>
      <c r="O89" s="15" t="str">
        <f t="shared" si="3"/>
        <v>1010001</v>
      </c>
      <c r="P89" s="20"/>
      <c r="Q89" s="16"/>
    </row>
    <row r="90" spans="12:17">
      <c r="L90" s="13"/>
      <c r="M90" s="15">
        <v>82</v>
      </c>
      <c r="N90" s="15" t="str">
        <f t="shared" si="4"/>
        <v>52</v>
      </c>
      <c r="O90" s="15" t="str">
        <f t="shared" si="3"/>
        <v>1010010</v>
      </c>
      <c r="P90" s="20"/>
      <c r="Q90" s="16"/>
    </row>
    <row r="91" spans="12:17">
      <c r="L91" s="13"/>
      <c r="M91" s="15">
        <v>83</v>
      </c>
      <c r="N91" s="15" t="str">
        <f t="shared" si="4"/>
        <v>53</v>
      </c>
      <c r="O91" s="15" t="str">
        <f t="shared" si="3"/>
        <v>1010011</v>
      </c>
      <c r="P91" s="20"/>
      <c r="Q91" s="16"/>
    </row>
    <row r="92" spans="12:17">
      <c r="L92" s="13"/>
      <c r="M92" s="15">
        <v>84</v>
      </c>
      <c r="N92" s="15" t="str">
        <f t="shared" si="4"/>
        <v>54</v>
      </c>
      <c r="O92" s="15" t="str">
        <f t="shared" si="3"/>
        <v>1010100</v>
      </c>
      <c r="P92" s="20"/>
      <c r="Q92" s="16"/>
    </row>
    <row r="93" spans="12:17">
      <c r="L93" s="13"/>
      <c r="M93" s="15">
        <v>85</v>
      </c>
      <c r="N93" s="15" t="str">
        <f t="shared" si="4"/>
        <v>55</v>
      </c>
      <c r="O93" s="15" t="str">
        <f t="shared" si="3"/>
        <v>1010101</v>
      </c>
      <c r="P93" s="20"/>
      <c r="Q93" s="16"/>
    </row>
    <row r="94" spans="12:17">
      <c r="L94" s="13"/>
      <c r="M94" s="15">
        <v>86</v>
      </c>
      <c r="N94" s="15" t="str">
        <f t="shared" si="4"/>
        <v>56</v>
      </c>
      <c r="O94" s="15" t="str">
        <f t="shared" si="3"/>
        <v>1010110</v>
      </c>
      <c r="P94" s="20"/>
      <c r="Q94" s="16"/>
    </row>
    <row r="95" spans="12:17">
      <c r="L95" s="13"/>
      <c r="M95" s="15">
        <v>87</v>
      </c>
      <c r="N95" s="15" t="str">
        <f t="shared" si="4"/>
        <v>57</v>
      </c>
      <c r="O95" s="15" t="str">
        <f t="shared" si="3"/>
        <v>1010111</v>
      </c>
      <c r="P95" s="20"/>
      <c r="Q95" s="16"/>
    </row>
    <row r="96" spans="12:17">
      <c r="L96" s="13"/>
      <c r="M96" s="15">
        <v>88</v>
      </c>
      <c r="N96" s="15" t="str">
        <f t="shared" si="4"/>
        <v>58</v>
      </c>
      <c r="O96" s="15" t="str">
        <f t="shared" si="3"/>
        <v>1011000</v>
      </c>
      <c r="P96" s="20"/>
      <c r="Q96" s="16"/>
    </row>
    <row r="97" spans="12:17">
      <c r="L97" s="13"/>
      <c r="M97" s="15">
        <v>89</v>
      </c>
      <c r="N97" s="15" t="str">
        <f t="shared" si="4"/>
        <v>59</v>
      </c>
      <c r="O97" s="15" t="str">
        <f t="shared" si="3"/>
        <v>1011001</v>
      </c>
      <c r="P97" s="20"/>
      <c r="Q97" s="16"/>
    </row>
    <row r="98" spans="12:17">
      <c r="L98" s="13"/>
      <c r="M98" s="15">
        <v>90</v>
      </c>
      <c r="N98" s="15" t="str">
        <f t="shared" si="4"/>
        <v>5A</v>
      </c>
      <c r="O98" s="15" t="str">
        <f t="shared" si="3"/>
        <v>1011010</v>
      </c>
      <c r="P98" s="20"/>
      <c r="Q98" s="16"/>
    </row>
    <row r="99" spans="12:17">
      <c r="L99" s="13"/>
      <c r="M99" s="15">
        <v>91</v>
      </c>
      <c r="N99" s="15" t="str">
        <f t="shared" si="4"/>
        <v>5B</v>
      </c>
      <c r="O99" s="15" t="str">
        <f t="shared" si="3"/>
        <v>1011011</v>
      </c>
      <c r="P99" s="20"/>
      <c r="Q99" s="16"/>
    </row>
    <row r="100" spans="12:17">
      <c r="L100" s="13"/>
      <c r="M100" s="15">
        <v>92</v>
      </c>
      <c r="N100" s="15" t="str">
        <f t="shared" si="4"/>
        <v>5C</v>
      </c>
      <c r="O100" s="15" t="str">
        <f t="shared" si="3"/>
        <v>1011100</v>
      </c>
      <c r="P100" s="20"/>
      <c r="Q100" s="16"/>
    </row>
    <row r="101" spans="12:17">
      <c r="L101" s="13"/>
      <c r="M101" s="15">
        <v>93</v>
      </c>
      <c r="N101" s="15" t="str">
        <f t="shared" si="4"/>
        <v>5D</v>
      </c>
      <c r="O101" s="15" t="str">
        <f t="shared" si="3"/>
        <v>1011101</v>
      </c>
      <c r="P101" s="20"/>
      <c r="Q101" s="16"/>
    </row>
    <row r="102" spans="12:17">
      <c r="L102" s="13"/>
      <c r="M102" s="15">
        <v>94</v>
      </c>
      <c r="N102" s="15" t="str">
        <f t="shared" si="4"/>
        <v>5E</v>
      </c>
      <c r="O102" s="15" t="str">
        <f t="shared" si="3"/>
        <v>1011110</v>
      </c>
      <c r="P102" s="20"/>
      <c r="Q102" s="16"/>
    </row>
    <row r="103" spans="12:17">
      <c r="L103" s="13"/>
      <c r="M103" s="15">
        <v>95</v>
      </c>
      <c r="N103" s="15" t="str">
        <f t="shared" si="4"/>
        <v>5F</v>
      </c>
      <c r="O103" s="15" t="str">
        <f t="shared" si="3"/>
        <v>1011111</v>
      </c>
      <c r="P103" s="20"/>
      <c r="Q103" s="16"/>
    </row>
    <row r="104" spans="12:17">
      <c r="L104" s="13"/>
      <c r="M104" s="15">
        <v>96</v>
      </c>
      <c r="N104" s="15" t="str">
        <f t="shared" si="4"/>
        <v>60</v>
      </c>
      <c r="O104" s="15" t="str">
        <f t="shared" si="3"/>
        <v>1100000</v>
      </c>
      <c r="P104" s="20"/>
      <c r="Q104" s="16"/>
    </row>
    <row r="105" spans="12:17">
      <c r="L105" s="13"/>
      <c r="M105" s="15">
        <v>97</v>
      </c>
      <c r="N105" s="15" t="str">
        <f t="shared" si="4"/>
        <v>61</v>
      </c>
      <c r="O105" s="15" t="str">
        <f t="shared" si="3"/>
        <v>1100001</v>
      </c>
      <c r="P105" s="20"/>
      <c r="Q105" s="16"/>
    </row>
    <row r="106" spans="12:17">
      <c r="L106" s="13"/>
      <c r="M106" s="15">
        <v>98</v>
      </c>
      <c r="N106" s="15" t="str">
        <f t="shared" si="4"/>
        <v>62</v>
      </c>
      <c r="O106" s="15" t="str">
        <f t="shared" si="3"/>
        <v>1100010</v>
      </c>
      <c r="P106" s="20"/>
      <c r="Q106" s="16"/>
    </row>
    <row r="107" spans="12:17">
      <c r="L107" s="13"/>
      <c r="M107" s="15">
        <v>99</v>
      </c>
      <c r="N107" s="15" t="str">
        <f t="shared" si="4"/>
        <v>63</v>
      </c>
      <c r="O107" s="15" t="str">
        <f t="shared" si="3"/>
        <v>1100011</v>
      </c>
      <c r="P107" s="20"/>
      <c r="Q107" s="16"/>
    </row>
    <row r="108" spans="12:17">
      <c r="L108" s="13"/>
      <c r="M108" s="15">
        <v>100</v>
      </c>
      <c r="N108" s="15" t="str">
        <f t="shared" si="4"/>
        <v>64</v>
      </c>
      <c r="O108" s="15" t="str">
        <f t="shared" si="3"/>
        <v>1100100</v>
      </c>
      <c r="P108" s="20"/>
      <c r="Q108" s="16"/>
    </row>
    <row r="109" spans="12:17">
      <c r="L109" s="13"/>
      <c r="M109" s="15">
        <v>101</v>
      </c>
      <c r="N109" s="15" t="str">
        <f t="shared" si="4"/>
        <v>65</v>
      </c>
      <c r="O109" s="15" t="str">
        <f t="shared" si="3"/>
        <v>1100101</v>
      </c>
      <c r="P109" s="20"/>
      <c r="Q109" s="16"/>
    </row>
    <row r="110" spans="12:17">
      <c r="L110" s="13"/>
      <c r="M110" s="15">
        <v>102</v>
      </c>
      <c r="N110" s="15" t="str">
        <f t="shared" si="4"/>
        <v>66</v>
      </c>
      <c r="O110" s="15" t="str">
        <f t="shared" si="3"/>
        <v>1100110</v>
      </c>
      <c r="P110" s="20"/>
      <c r="Q110" s="16"/>
    </row>
    <row r="111" spans="12:17">
      <c r="L111" s="13"/>
      <c r="M111" s="15">
        <v>103</v>
      </c>
      <c r="N111" s="15" t="str">
        <f t="shared" si="4"/>
        <v>67</v>
      </c>
      <c r="O111" s="15" t="str">
        <f t="shared" si="3"/>
        <v>1100111</v>
      </c>
      <c r="P111" s="20"/>
      <c r="Q111" s="16"/>
    </row>
    <row r="112" spans="12:17">
      <c r="L112" s="13"/>
      <c r="M112" s="15">
        <v>104</v>
      </c>
      <c r="N112" s="15" t="str">
        <f t="shared" si="4"/>
        <v>68</v>
      </c>
      <c r="O112" s="15" t="str">
        <f t="shared" si="3"/>
        <v>1101000</v>
      </c>
      <c r="P112" s="20"/>
      <c r="Q112" s="16"/>
    </row>
    <row r="113" spans="1:17">
      <c r="L113" s="13"/>
      <c r="M113" s="15">
        <v>105</v>
      </c>
      <c r="N113" s="15" t="str">
        <f t="shared" si="4"/>
        <v>69</v>
      </c>
      <c r="O113" s="15" t="str">
        <f t="shared" si="3"/>
        <v>1101001</v>
      </c>
      <c r="P113" s="20"/>
      <c r="Q113" s="16"/>
    </row>
    <row r="114" spans="1:17">
      <c r="L114" s="13"/>
      <c r="M114" s="15">
        <v>106</v>
      </c>
      <c r="N114" s="15" t="str">
        <f t="shared" si="4"/>
        <v>6A</v>
      </c>
      <c r="O114" s="15" t="str">
        <f t="shared" si="3"/>
        <v>1101010</v>
      </c>
      <c r="P114" s="20"/>
      <c r="Q114" s="16"/>
    </row>
    <row r="115" spans="1:17">
      <c r="L115" s="13"/>
      <c r="M115" s="15">
        <v>107</v>
      </c>
      <c r="N115" s="15" t="str">
        <f t="shared" si="4"/>
        <v>6B</v>
      </c>
      <c r="O115" s="15" t="str">
        <f t="shared" si="3"/>
        <v>1101011</v>
      </c>
      <c r="P115" s="20"/>
      <c r="Q115" s="16"/>
    </row>
    <row r="116" spans="1:17">
      <c r="A116" s="2"/>
      <c r="L116" s="13"/>
      <c r="M116" s="15">
        <v>108</v>
      </c>
      <c r="N116" s="15" t="str">
        <f t="shared" si="4"/>
        <v>6C</v>
      </c>
      <c r="O116" s="15" t="str">
        <f t="shared" si="3"/>
        <v>1101100</v>
      </c>
      <c r="P116" s="20"/>
      <c r="Q116" s="16"/>
    </row>
    <row r="117" spans="1:17">
      <c r="A117" s="2"/>
      <c r="L117" s="13"/>
      <c r="M117" s="15">
        <v>109</v>
      </c>
      <c r="N117" s="15" t="str">
        <f t="shared" si="4"/>
        <v>6D</v>
      </c>
      <c r="O117" s="15" t="str">
        <f t="shared" si="3"/>
        <v>1101101</v>
      </c>
      <c r="P117" s="20"/>
      <c r="Q117" s="16"/>
    </row>
    <row r="118" spans="1:17">
      <c r="A118" s="2"/>
      <c r="L118" s="13"/>
      <c r="M118" s="15">
        <v>110</v>
      </c>
      <c r="N118" s="15" t="str">
        <f t="shared" si="4"/>
        <v>6E</v>
      </c>
      <c r="O118" s="15" t="str">
        <f t="shared" si="3"/>
        <v>1101110</v>
      </c>
      <c r="P118" s="20"/>
      <c r="Q118" s="16"/>
    </row>
    <row r="119" spans="1:17">
      <c r="A119" s="2"/>
      <c r="L119" s="13"/>
      <c r="M119" s="15">
        <v>111</v>
      </c>
      <c r="N119" s="15" t="str">
        <f t="shared" si="4"/>
        <v>6F</v>
      </c>
      <c r="O119" s="15" t="str">
        <f t="shared" si="3"/>
        <v>1101111</v>
      </c>
      <c r="P119" s="20"/>
      <c r="Q119" s="16"/>
    </row>
    <row r="120" spans="1:17">
      <c r="A120" s="2"/>
      <c r="L120" s="13"/>
      <c r="M120" s="15">
        <v>112</v>
      </c>
      <c r="N120" s="15" t="str">
        <f t="shared" si="4"/>
        <v>70</v>
      </c>
      <c r="O120" s="15" t="str">
        <f t="shared" si="3"/>
        <v>1110000</v>
      </c>
      <c r="P120" s="20"/>
      <c r="Q120" s="16"/>
    </row>
    <row r="121" spans="1:17">
      <c r="L121" s="13"/>
      <c r="M121" s="15">
        <v>113</v>
      </c>
      <c r="N121" s="15" t="str">
        <f t="shared" si="4"/>
        <v>71</v>
      </c>
      <c r="O121" s="15" t="str">
        <f t="shared" si="3"/>
        <v>1110001</v>
      </c>
      <c r="P121" s="20"/>
      <c r="Q121" s="16"/>
    </row>
    <row r="122" spans="1:17">
      <c r="L122" s="13"/>
      <c r="M122" s="15">
        <v>114</v>
      </c>
      <c r="N122" s="15" t="str">
        <f t="shared" si="4"/>
        <v>72</v>
      </c>
      <c r="O122" s="15" t="str">
        <f t="shared" si="3"/>
        <v>1110010</v>
      </c>
      <c r="P122" s="20"/>
      <c r="Q122" s="16"/>
    </row>
    <row r="123" spans="1:17">
      <c r="L123" s="13"/>
      <c r="M123" s="15">
        <v>115</v>
      </c>
      <c r="N123" s="15" t="str">
        <f t="shared" si="4"/>
        <v>73</v>
      </c>
      <c r="O123" s="15" t="str">
        <f t="shared" si="3"/>
        <v>1110011</v>
      </c>
      <c r="P123" s="20"/>
      <c r="Q123" s="16"/>
    </row>
    <row r="124" spans="1:17">
      <c r="L124" s="13"/>
      <c r="M124" s="15">
        <v>116</v>
      </c>
      <c r="N124" s="15" t="str">
        <f t="shared" si="4"/>
        <v>74</v>
      </c>
      <c r="O124" s="15" t="str">
        <f t="shared" si="3"/>
        <v>1110100</v>
      </c>
      <c r="P124" s="20"/>
      <c r="Q124" s="16"/>
    </row>
    <row r="125" spans="1:17">
      <c r="L125" s="13"/>
      <c r="M125" s="15">
        <v>117</v>
      </c>
      <c r="N125" s="15" t="str">
        <f t="shared" si="4"/>
        <v>75</v>
      </c>
      <c r="O125" s="15" t="str">
        <f t="shared" si="3"/>
        <v>1110101</v>
      </c>
      <c r="P125" s="20"/>
      <c r="Q125" s="16"/>
    </row>
    <row r="126" spans="1:17">
      <c r="L126" s="13"/>
      <c r="M126" s="15">
        <v>118</v>
      </c>
      <c r="N126" s="15" t="str">
        <f t="shared" si="4"/>
        <v>76</v>
      </c>
      <c r="O126" s="15" t="str">
        <f t="shared" si="3"/>
        <v>1110110</v>
      </c>
      <c r="P126" s="20"/>
      <c r="Q126" s="16"/>
    </row>
    <row r="127" spans="1:17">
      <c r="L127" s="13"/>
      <c r="M127" s="15">
        <v>119</v>
      </c>
      <c r="N127" s="15" t="str">
        <f t="shared" si="4"/>
        <v>77</v>
      </c>
      <c r="O127" s="15" t="str">
        <f t="shared" si="3"/>
        <v>1110111</v>
      </c>
      <c r="P127" s="20"/>
      <c r="Q127" s="16"/>
    </row>
    <row r="128" spans="1:17">
      <c r="L128" s="13"/>
      <c r="M128" s="15">
        <v>120</v>
      </c>
      <c r="N128" s="15" t="str">
        <f t="shared" si="4"/>
        <v>78</v>
      </c>
      <c r="O128" s="15" t="str">
        <f t="shared" si="3"/>
        <v>1111000</v>
      </c>
      <c r="P128" s="20"/>
      <c r="Q128" s="16"/>
    </row>
    <row r="129" spans="12:17">
      <c r="L129" s="13"/>
      <c r="M129" s="15">
        <v>121</v>
      </c>
      <c r="N129" s="15" t="str">
        <f t="shared" si="4"/>
        <v>79</v>
      </c>
      <c r="O129" s="15" t="str">
        <f t="shared" si="3"/>
        <v>1111001</v>
      </c>
      <c r="P129" s="20"/>
      <c r="Q129" s="16"/>
    </row>
    <row r="130" spans="12:17">
      <c r="L130" s="13"/>
      <c r="M130" s="15">
        <v>122</v>
      </c>
      <c r="N130" s="15" t="str">
        <f t="shared" si="4"/>
        <v>7A</v>
      </c>
      <c r="O130" s="15" t="str">
        <f t="shared" si="3"/>
        <v>1111010</v>
      </c>
      <c r="P130" s="20"/>
      <c r="Q130" s="16"/>
    </row>
    <row r="131" spans="12:17">
      <c r="L131" s="13"/>
      <c r="M131" s="15">
        <v>123</v>
      </c>
      <c r="N131" s="15" t="str">
        <f t="shared" si="4"/>
        <v>7B</v>
      </c>
      <c r="O131" s="15" t="str">
        <f t="shared" si="3"/>
        <v>1111011</v>
      </c>
      <c r="P131" s="20"/>
      <c r="Q131" s="16"/>
    </row>
    <row r="132" spans="12:17">
      <c r="L132" s="13"/>
      <c r="M132" s="15">
        <v>124</v>
      </c>
      <c r="N132" s="15" t="str">
        <f t="shared" si="4"/>
        <v>7C</v>
      </c>
      <c r="O132" s="15" t="str">
        <f t="shared" si="3"/>
        <v>1111100</v>
      </c>
      <c r="P132" s="20"/>
      <c r="Q132" s="16"/>
    </row>
    <row r="133" spans="12:17">
      <c r="L133" s="13"/>
      <c r="M133" s="15">
        <v>125</v>
      </c>
      <c r="N133" s="15" t="str">
        <f t="shared" si="4"/>
        <v>7D</v>
      </c>
      <c r="O133" s="15" t="str">
        <f t="shared" si="3"/>
        <v>1111101</v>
      </c>
      <c r="P133" s="20"/>
      <c r="Q133" s="16"/>
    </row>
    <row r="134" spans="12:17">
      <c r="L134" s="13"/>
      <c r="M134" s="15">
        <v>126</v>
      </c>
      <c r="N134" s="15" t="str">
        <f t="shared" si="4"/>
        <v>7E</v>
      </c>
      <c r="O134" s="15" t="str">
        <f t="shared" si="3"/>
        <v>1111110</v>
      </c>
      <c r="P134" s="20"/>
      <c r="Q134" s="16"/>
    </row>
    <row r="135" spans="12:17">
      <c r="L135" s="13"/>
      <c r="M135" s="15">
        <v>127</v>
      </c>
      <c r="N135" s="15" t="str">
        <f t="shared" si="4"/>
        <v>7F</v>
      </c>
      <c r="O135" s="15" t="str">
        <f t="shared" si="3"/>
        <v>1111111</v>
      </c>
      <c r="P135" s="20"/>
      <c r="Q135" s="16"/>
    </row>
    <row r="136" spans="12:17">
      <c r="L136" s="13"/>
      <c r="M136" s="15">
        <v>128</v>
      </c>
      <c r="N136" s="15" t="str">
        <f t="shared" si="4"/>
        <v>80</v>
      </c>
      <c r="O136" s="15" t="str">
        <f t="shared" ref="O136:O199" si="5">HEX2BIN(N136)</f>
        <v>10000000</v>
      </c>
      <c r="P136" s="20"/>
      <c r="Q136" s="16"/>
    </row>
    <row r="137" spans="12:17">
      <c r="L137" s="13"/>
      <c r="M137" s="15">
        <v>129</v>
      </c>
      <c r="N137" s="15" t="str">
        <f t="shared" si="4"/>
        <v>81</v>
      </c>
      <c r="O137" s="15" t="str">
        <f t="shared" si="5"/>
        <v>10000001</v>
      </c>
      <c r="P137" s="20"/>
      <c r="Q137" s="16"/>
    </row>
    <row r="138" spans="12:17">
      <c r="L138" s="13"/>
      <c r="M138" s="15">
        <v>130</v>
      </c>
      <c r="N138" s="15" t="str">
        <f t="shared" ref="N138:N201" si="6">DEC2HEX(M138)</f>
        <v>82</v>
      </c>
      <c r="O138" s="15" t="str">
        <f t="shared" si="5"/>
        <v>10000010</v>
      </c>
      <c r="P138" s="20"/>
      <c r="Q138" s="16"/>
    </row>
    <row r="139" spans="12:17">
      <c r="L139" s="13"/>
      <c r="M139" s="15">
        <v>131</v>
      </c>
      <c r="N139" s="15" t="str">
        <f t="shared" si="6"/>
        <v>83</v>
      </c>
      <c r="O139" s="15" t="str">
        <f t="shared" si="5"/>
        <v>10000011</v>
      </c>
      <c r="P139" s="20"/>
      <c r="Q139" s="16"/>
    </row>
    <row r="140" spans="12:17">
      <c r="L140" s="13"/>
      <c r="M140" s="15">
        <v>132</v>
      </c>
      <c r="N140" s="15" t="str">
        <f t="shared" si="6"/>
        <v>84</v>
      </c>
      <c r="O140" s="15" t="str">
        <f t="shared" si="5"/>
        <v>10000100</v>
      </c>
      <c r="P140" s="20"/>
      <c r="Q140" s="16"/>
    </row>
    <row r="141" spans="12:17">
      <c r="L141" s="13"/>
      <c r="M141" s="15">
        <v>133</v>
      </c>
      <c r="N141" s="15" t="str">
        <f t="shared" si="6"/>
        <v>85</v>
      </c>
      <c r="O141" s="15" t="str">
        <f t="shared" si="5"/>
        <v>10000101</v>
      </c>
      <c r="P141" s="20"/>
      <c r="Q141" s="16"/>
    </row>
    <row r="142" spans="12:17">
      <c r="L142" s="13"/>
      <c r="M142" s="15">
        <v>134</v>
      </c>
      <c r="N142" s="15" t="str">
        <f t="shared" si="6"/>
        <v>86</v>
      </c>
      <c r="O142" s="15" t="str">
        <f t="shared" si="5"/>
        <v>10000110</v>
      </c>
      <c r="P142" s="20"/>
      <c r="Q142" s="16"/>
    </row>
    <row r="143" spans="12:17">
      <c r="L143" s="13"/>
      <c r="M143" s="15">
        <v>135</v>
      </c>
      <c r="N143" s="15" t="str">
        <f t="shared" si="6"/>
        <v>87</v>
      </c>
      <c r="O143" s="15" t="str">
        <f t="shared" si="5"/>
        <v>10000111</v>
      </c>
      <c r="P143" s="20"/>
      <c r="Q143" s="16"/>
    </row>
    <row r="144" spans="12:17">
      <c r="L144" s="13"/>
      <c r="M144" s="15">
        <v>136</v>
      </c>
      <c r="N144" s="15" t="str">
        <f t="shared" si="6"/>
        <v>88</v>
      </c>
      <c r="O144" s="15" t="str">
        <f t="shared" si="5"/>
        <v>10001000</v>
      </c>
      <c r="P144" s="20"/>
      <c r="Q144" s="16"/>
    </row>
    <row r="145" spans="12:17">
      <c r="L145" s="13"/>
      <c r="M145" s="15">
        <v>137</v>
      </c>
      <c r="N145" s="15" t="str">
        <f t="shared" si="6"/>
        <v>89</v>
      </c>
      <c r="O145" s="15" t="str">
        <f t="shared" si="5"/>
        <v>10001001</v>
      </c>
      <c r="P145" s="20"/>
      <c r="Q145" s="16"/>
    </row>
    <row r="146" spans="12:17">
      <c r="L146" s="13"/>
      <c r="M146" s="15">
        <v>138</v>
      </c>
      <c r="N146" s="15" t="str">
        <f t="shared" si="6"/>
        <v>8A</v>
      </c>
      <c r="O146" s="15" t="str">
        <f t="shared" si="5"/>
        <v>10001010</v>
      </c>
      <c r="P146" s="20"/>
      <c r="Q146" s="16"/>
    </row>
    <row r="147" spans="12:17">
      <c r="L147" s="13"/>
      <c r="M147" s="15">
        <v>139</v>
      </c>
      <c r="N147" s="15" t="str">
        <f t="shared" si="6"/>
        <v>8B</v>
      </c>
      <c r="O147" s="15" t="str">
        <f t="shared" si="5"/>
        <v>10001011</v>
      </c>
      <c r="P147" s="20"/>
      <c r="Q147" s="16"/>
    </row>
    <row r="148" spans="12:17">
      <c r="L148" s="13"/>
      <c r="M148" s="15">
        <v>140</v>
      </c>
      <c r="N148" s="15" t="str">
        <f t="shared" si="6"/>
        <v>8C</v>
      </c>
      <c r="O148" s="15" t="str">
        <f t="shared" si="5"/>
        <v>10001100</v>
      </c>
      <c r="P148" s="20"/>
      <c r="Q148" s="16"/>
    </row>
    <row r="149" spans="12:17">
      <c r="L149" s="13"/>
      <c r="M149" s="15">
        <v>141</v>
      </c>
      <c r="N149" s="15" t="str">
        <f t="shared" si="6"/>
        <v>8D</v>
      </c>
      <c r="O149" s="15" t="str">
        <f t="shared" si="5"/>
        <v>10001101</v>
      </c>
      <c r="P149" s="20"/>
      <c r="Q149" s="16"/>
    </row>
    <row r="150" spans="12:17">
      <c r="L150" s="13"/>
      <c r="M150" s="15">
        <v>142</v>
      </c>
      <c r="N150" s="15" t="str">
        <f t="shared" si="6"/>
        <v>8E</v>
      </c>
      <c r="O150" s="15" t="str">
        <f t="shared" si="5"/>
        <v>10001110</v>
      </c>
      <c r="P150" s="20"/>
      <c r="Q150" s="16"/>
    </row>
    <row r="151" spans="12:17">
      <c r="L151" s="13"/>
      <c r="M151" s="15">
        <v>143</v>
      </c>
      <c r="N151" s="15" t="str">
        <f t="shared" si="6"/>
        <v>8F</v>
      </c>
      <c r="O151" s="15" t="str">
        <f t="shared" si="5"/>
        <v>10001111</v>
      </c>
      <c r="P151" s="20"/>
      <c r="Q151" s="16"/>
    </row>
    <row r="152" spans="12:17">
      <c r="L152" s="13"/>
      <c r="M152" s="15">
        <v>144</v>
      </c>
      <c r="N152" s="15" t="str">
        <f t="shared" si="6"/>
        <v>90</v>
      </c>
      <c r="O152" s="15" t="str">
        <f t="shared" si="5"/>
        <v>10010000</v>
      </c>
      <c r="P152" s="20"/>
      <c r="Q152" s="16"/>
    </row>
    <row r="153" spans="12:17">
      <c r="L153" s="13"/>
      <c r="M153" s="15">
        <v>145</v>
      </c>
      <c r="N153" s="15" t="str">
        <f t="shared" si="6"/>
        <v>91</v>
      </c>
      <c r="O153" s="15" t="str">
        <f t="shared" si="5"/>
        <v>10010001</v>
      </c>
      <c r="P153" s="20"/>
      <c r="Q153" s="16"/>
    </row>
    <row r="154" spans="12:17">
      <c r="L154" s="13"/>
      <c r="M154" s="15">
        <v>146</v>
      </c>
      <c r="N154" s="15" t="str">
        <f t="shared" si="6"/>
        <v>92</v>
      </c>
      <c r="O154" s="15" t="str">
        <f t="shared" si="5"/>
        <v>10010010</v>
      </c>
      <c r="P154" s="20"/>
      <c r="Q154" s="16"/>
    </row>
    <row r="155" spans="12:17">
      <c r="L155" s="13"/>
      <c r="M155" s="15">
        <v>147</v>
      </c>
      <c r="N155" s="15" t="str">
        <f t="shared" si="6"/>
        <v>93</v>
      </c>
      <c r="O155" s="15" t="str">
        <f t="shared" si="5"/>
        <v>10010011</v>
      </c>
      <c r="P155" s="20"/>
      <c r="Q155" s="16"/>
    </row>
    <row r="156" spans="12:17">
      <c r="L156" s="13"/>
      <c r="M156" s="15">
        <v>148</v>
      </c>
      <c r="N156" s="15" t="str">
        <f t="shared" si="6"/>
        <v>94</v>
      </c>
      <c r="O156" s="15" t="str">
        <f t="shared" si="5"/>
        <v>10010100</v>
      </c>
      <c r="P156" s="20"/>
      <c r="Q156" s="16"/>
    </row>
    <row r="157" spans="12:17">
      <c r="L157" s="13"/>
      <c r="M157" s="15">
        <v>149</v>
      </c>
      <c r="N157" s="15" t="str">
        <f t="shared" si="6"/>
        <v>95</v>
      </c>
      <c r="O157" s="15" t="str">
        <f t="shared" si="5"/>
        <v>10010101</v>
      </c>
      <c r="P157" s="20"/>
      <c r="Q157" s="16"/>
    </row>
    <row r="158" spans="12:17">
      <c r="L158" s="13"/>
      <c r="M158" s="15">
        <v>150</v>
      </c>
      <c r="N158" s="15" t="str">
        <f t="shared" si="6"/>
        <v>96</v>
      </c>
      <c r="O158" s="15" t="str">
        <f t="shared" si="5"/>
        <v>10010110</v>
      </c>
      <c r="P158" s="20"/>
      <c r="Q158" s="16"/>
    </row>
    <row r="159" spans="12:17">
      <c r="L159" s="13"/>
      <c r="M159" s="15">
        <v>151</v>
      </c>
      <c r="N159" s="15" t="str">
        <f t="shared" si="6"/>
        <v>97</v>
      </c>
      <c r="O159" s="15" t="str">
        <f t="shared" si="5"/>
        <v>10010111</v>
      </c>
      <c r="P159" s="20"/>
      <c r="Q159" s="16"/>
    </row>
    <row r="160" spans="12:17">
      <c r="L160" s="13"/>
      <c r="M160" s="15">
        <v>152</v>
      </c>
      <c r="N160" s="15" t="str">
        <f t="shared" si="6"/>
        <v>98</v>
      </c>
      <c r="O160" s="15" t="str">
        <f t="shared" si="5"/>
        <v>10011000</v>
      </c>
      <c r="P160" s="20"/>
      <c r="Q160" s="16"/>
    </row>
    <row r="161" spans="12:17">
      <c r="L161" s="13"/>
      <c r="M161" s="15">
        <v>153</v>
      </c>
      <c r="N161" s="15" t="str">
        <f t="shared" si="6"/>
        <v>99</v>
      </c>
      <c r="O161" s="15" t="str">
        <f t="shared" si="5"/>
        <v>10011001</v>
      </c>
      <c r="P161" s="20"/>
      <c r="Q161" s="16"/>
    </row>
    <row r="162" spans="12:17">
      <c r="L162" s="13"/>
      <c r="M162" s="15">
        <v>154</v>
      </c>
      <c r="N162" s="15" t="str">
        <f t="shared" si="6"/>
        <v>9A</v>
      </c>
      <c r="O162" s="15" t="str">
        <f t="shared" si="5"/>
        <v>10011010</v>
      </c>
      <c r="P162" s="20"/>
      <c r="Q162" s="16"/>
    </row>
    <row r="163" spans="12:17">
      <c r="L163" s="13"/>
      <c r="M163" s="15">
        <v>155</v>
      </c>
      <c r="N163" s="15" t="str">
        <f t="shared" si="6"/>
        <v>9B</v>
      </c>
      <c r="O163" s="15" t="str">
        <f t="shared" si="5"/>
        <v>10011011</v>
      </c>
      <c r="P163" s="20"/>
      <c r="Q163" s="16"/>
    </row>
    <row r="164" spans="12:17">
      <c r="L164" s="13"/>
      <c r="M164" s="15">
        <v>156</v>
      </c>
      <c r="N164" s="15" t="str">
        <f t="shared" si="6"/>
        <v>9C</v>
      </c>
      <c r="O164" s="15" t="str">
        <f t="shared" si="5"/>
        <v>10011100</v>
      </c>
      <c r="P164" s="20"/>
      <c r="Q164" s="16"/>
    </row>
    <row r="165" spans="12:17">
      <c r="L165" s="13"/>
      <c r="M165" s="15">
        <v>157</v>
      </c>
      <c r="N165" s="15" t="str">
        <f t="shared" si="6"/>
        <v>9D</v>
      </c>
      <c r="O165" s="15" t="str">
        <f t="shared" si="5"/>
        <v>10011101</v>
      </c>
      <c r="P165" s="20"/>
      <c r="Q165" s="16"/>
    </row>
    <row r="166" spans="12:17">
      <c r="L166" s="13"/>
      <c r="M166" s="15">
        <v>158</v>
      </c>
      <c r="N166" s="15" t="str">
        <f t="shared" si="6"/>
        <v>9E</v>
      </c>
      <c r="O166" s="15" t="str">
        <f t="shared" si="5"/>
        <v>10011110</v>
      </c>
      <c r="P166" s="20"/>
      <c r="Q166" s="16"/>
    </row>
    <row r="167" spans="12:17">
      <c r="L167" s="13"/>
      <c r="M167" s="15">
        <v>159</v>
      </c>
      <c r="N167" s="15" t="str">
        <f t="shared" si="6"/>
        <v>9F</v>
      </c>
      <c r="O167" s="15" t="str">
        <f t="shared" si="5"/>
        <v>10011111</v>
      </c>
      <c r="P167" s="20"/>
      <c r="Q167" s="16"/>
    </row>
    <row r="168" spans="12:17">
      <c r="L168" s="13"/>
      <c r="M168" s="15">
        <v>160</v>
      </c>
      <c r="N168" s="15" t="str">
        <f t="shared" si="6"/>
        <v>A0</v>
      </c>
      <c r="O168" s="15" t="str">
        <f t="shared" si="5"/>
        <v>10100000</v>
      </c>
      <c r="P168" s="20"/>
      <c r="Q168" s="16"/>
    </row>
    <row r="169" spans="12:17">
      <c r="L169" s="13"/>
      <c r="M169" s="15">
        <v>161</v>
      </c>
      <c r="N169" s="15" t="str">
        <f t="shared" si="6"/>
        <v>A1</v>
      </c>
      <c r="O169" s="15" t="str">
        <f t="shared" si="5"/>
        <v>10100001</v>
      </c>
      <c r="P169" s="20"/>
      <c r="Q169" s="16"/>
    </row>
    <row r="170" spans="12:17">
      <c r="L170" s="13"/>
      <c r="M170" s="15">
        <v>162</v>
      </c>
      <c r="N170" s="15" t="str">
        <f t="shared" si="6"/>
        <v>A2</v>
      </c>
      <c r="O170" s="15" t="str">
        <f t="shared" si="5"/>
        <v>10100010</v>
      </c>
      <c r="P170" s="20"/>
      <c r="Q170" s="16"/>
    </row>
    <row r="171" spans="12:17">
      <c r="L171" s="13"/>
      <c r="M171" s="15">
        <v>163</v>
      </c>
      <c r="N171" s="15" t="str">
        <f t="shared" si="6"/>
        <v>A3</v>
      </c>
      <c r="O171" s="15" t="str">
        <f t="shared" si="5"/>
        <v>10100011</v>
      </c>
      <c r="P171" s="20"/>
      <c r="Q171" s="16"/>
    </row>
    <row r="172" spans="12:17">
      <c r="L172" s="13"/>
      <c r="M172" s="15">
        <v>164</v>
      </c>
      <c r="N172" s="15" t="str">
        <f t="shared" si="6"/>
        <v>A4</v>
      </c>
      <c r="O172" s="15" t="str">
        <f t="shared" si="5"/>
        <v>10100100</v>
      </c>
      <c r="P172" s="20"/>
      <c r="Q172" s="16"/>
    </row>
    <row r="173" spans="12:17">
      <c r="L173" s="13"/>
      <c r="M173" s="15">
        <v>165</v>
      </c>
      <c r="N173" s="15" t="str">
        <f t="shared" si="6"/>
        <v>A5</v>
      </c>
      <c r="O173" s="15" t="str">
        <f t="shared" si="5"/>
        <v>10100101</v>
      </c>
      <c r="P173" s="20"/>
      <c r="Q173" s="16"/>
    </row>
    <row r="174" spans="12:17">
      <c r="L174" s="13"/>
      <c r="M174" s="15">
        <v>166</v>
      </c>
      <c r="N174" s="15" t="str">
        <f t="shared" si="6"/>
        <v>A6</v>
      </c>
      <c r="O174" s="15" t="str">
        <f t="shared" si="5"/>
        <v>10100110</v>
      </c>
      <c r="P174" s="20"/>
      <c r="Q174" s="16"/>
    </row>
    <row r="175" spans="12:17">
      <c r="L175" s="13"/>
      <c r="M175" s="15">
        <v>167</v>
      </c>
      <c r="N175" s="15" t="str">
        <f t="shared" si="6"/>
        <v>A7</v>
      </c>
      <c r="O175" s="15" t="str">
        <f t="shared" si="5"/>
        <v>10100111</v>
      </c>
      <c r="P175" s="20"/>
      <c r="Q175" s="16"/>
    </row>
    <row r="176" spans="12:17">
      <c r="L176" s="13"/>
      <c r="M176" s="15">
        <v>168</v>
      </c>
      <c r="N176" s="15" t="str">
        <f t="shared" si="6"/>
        <v>A8</v>
      </c>
      <c r="O176" s="15" t="str">
        <f t="shared" si="5"/>
        <v>10101000</v>
      </c>
      <c r="P176" s="20"/>
      <c r="Q176" s="16"/>
    </row>
    <row r="177" spans="12:17">
      <c r="L177" s="13"/>
      <c r="M177" s="15">
        <v>169</v>
      </c>
      <c r="N177" s="15" t="str">
        <f t="shared" si="6"/>
        <v>A9</v>
      </c>
      <c r="O177" s="15" t="str">
        <f t="shared" si="5"/>
        <v>10101001</v>
      </c>
      <c r="P177" s="20"/>
      <c r="Q177" s="16"/>
    </row>
    <row r="178" spans="12:17">
      <c r="L178" s="13"/>
      <c r="M178" s="15">
        <v>170</v>
      </c>
      <c r="N178" s="15" t="str">
        <f t="shared" si="6"/>
        <v>AA</v>
      </c>
      <c r="O178" s="15" t="str">
        <f t="shared" si="5"/>
        <v>10101010</v>
      </c>
      <c r="P178" s="20"/>
      <c r="Q178" s="16"/>
    </row>
    <row r="179" spans="12:17">
      <c r="L179" s="13"/>
      <c r="M179" s="15">
        <v>171</v>
      </c>
      <c r="N179" s="15" t="str">
        <f t="shared" si="6"/>
        <v>AB</v>
      </c>
      <c r="O179" s="15" t="str">
        <f t="shared" si="5"/>
        <v>10101011</v>
      </c>
      <c r="P179" s="20"/>
      <c r="Q179" s="16"/>
    </row>
    <row r="180" spans="12:17">
      <c r="L180" s="13"/>
      <c r="M180" s="15">
        <v>172</v>
      </c>
      <c r="N180" s="15" t="str">
        <f t="shared" si="6"/>
        <v>AC</v>
      </c>
      <c r="O180" s="15" t="str">
        <f t="shared" si="5"/>
        <v>10101100</v>
      </c>
      <c r="P180" s="20"/>
      <c r="Q180" s="16"/>
    </row>
    <row r="181" spans="12:17">
      <c r="L181" s="13"/>
      <c r="M181" s="15">
        <v>173</v>
      </c>
      <c r="N181" s="15" t="str">
        <f t="shared" si="6"/>
        <v>AD</v>
      </c>
      <c r="O181" s="15" t="str">
        <f t="shared" si="5"/>
        <v>10101101</v>
      </c>
      <c r="P181" s="20"/>
      <c r="Q181" s="16"/>
    </row>
    <row r="182" spans="12:17">
      <c r="L182" s="13"/>
      <c r="M182" s="15">
        <v>174</v>
      </c>
      <c r="N182" s="15" t="str">
        <f t="shared" si="6"/>
        <v>AE</v>
      </c>
      <c r="O182" s="15" t="str">
        <f t="shared" si="5"/>
        <v>10101110</v>
      </c>
      <c r="P182" s="20"/>
      <c r="Q182" s="16"/>
    </row>
    <row r="183" spans="12:17">
      <c r="L183" s="13"/>
      <c r="M183" s="15">
        <v>175</v>
      </c>
      <c r="N183" s="15" t="str">
        <f t="shared" si="6"/>
        <v>AF</v>
      </c>
      <c r="O183" s="15" t="str">
        <f t="shared" si="5"/>
        <v>10101111</v>
      </c>
      <c r="P183" s="20"/>
      <c r="Q183" s="16"/>
    </row>
    <row r="184" spans="12:17">
      <c r="L184" s="13"/>
      <c r="M184" s="15">
        <v>176</v>
      </c>
      <c r="N184" s="15" t="str">
        <f t="shared" si="6"/>
        <v>B0</v>
      </c>
      <c r="O184" s="15" t="str">
        <f t="shared" si="5"/>
        <v>10110000</v>
      </c>
      <c r="P184" s="20"/>
      <c r="Q184" s="16"/>
    </row>
    <row r="185" spans="12:17">
      <c r="L185" s="13"/>
      <c r="M185" s="15">
        <v>177</v>
      </c>
      <c r="N185" s="15" t="str">
        <f t="shared" si="6"/>
        <v>B1</v>
      </c>
      <c r="O185" s="15" t="str">
        <f t="shared" si="5"/>
        <v>10110001</v>
      </c>
      <c r="P185" s="20"/>
      <c r="Q185" s="16"/>
    </row>
    <row r="186" spans="12:17">
      <c r="L186" s="13"/>
      <c r="M186" s="15">
        <v>178</v>
      </c>
      <c r="N186" s="15" t="str">
        <f t="shared" si="6"/>
        <v>B2</v>
      </c>
      <c r="O186" s="15" t="str">
        <f t="shared" si="5"/>
        <v>10110010</v>
      </c>
      <c r="P186" s="20"/>
      <c r="Q186" s="16"/>
    </row>
    <row r="187" spans="12:17">
      <c r="L187" s="13"/>
      <c r="M187" s="15">
        <v>179</v>
      </c>
      <c r="N187" s="15" t="str">
        <f t="shared" si="6"/>
        <v>B3</v>
      </c>
      <c r="O187" s="15" t="str">
        <f t="shared" si="5"/>
        <v>10110011</v>
      </c>
      <c r="P187" s="20"/>
      <c r="Q187" s="16"/>
    </row>
    <row r="188" spans="12:17">
      <c r="L188" s="13"/>
      <c r="M188" s="15">
        <v>180</v>
      </c>
      <c r="N188" s="15" t="str">
        <f t="shared" si="6"/>
        <v>B4</v>
      </c>
      <c r="O188" s="15" t="str">
        <f t="shared" si="5"/>
        <v>10110100</v>
      </c>
      <c r="P188" s="20"/>
      <c r="Q188" s="16"/>
    </row>
    <row r="189" spans="12:17">
      <c r="L189" s="13"/>
      <c r="M189" s="15">
        <v>181</v>
      </c>
      <c r="N189" s="15" t="str">
        <f t="shared" si="6"/>
        <v>B5</v>
      </c>
      <c r="O189" s="15" t="str">
        <f t="shared" si="5"/>
        <v>10110101</v>
      </c>
      <c r="P189" s="20"/>
      <c r="Q189" s="16"/>
    </row>
    <row r="190" spans="12:17">
      <c r="L190" s="13"/>
      <c r="M190" s="15">
        <v>182</v>
      </c>
      <c r="N190" s="15" t="str">
        <f t="shared" si="6"/>
        <v>B6</v>
      </c>
      <c r="O190" s="15" t="str">
        <f t="shared" si="5"/>
        <v>10110110</v>
      </c>
      <c r="P190" s="20"/>
      <c r="Q190" s="16"/>
    </row>
    <row r="191" spans="12:17">
      <c r="L191" s="13"/>
      <c r="M191" s="15">
        <v>183</v>
      </c>
      <c r="N191" s="15" t="str">
        <f t="shared" si="6"/>
        <v>B7</v>
      </c>
      <c r="O191" s="15" t="str">
        <f t="shared" si="5"/>
        <v>10110111</v>
      </c>
      <c r="P191" s="20"/>
      <c r="Q191" s="16"/>
    </row>
    <row r="192" spans="12:17">
      <c r="L192" s="13"/>
      <c r="M192" s="15">
        <v>184</v>
      </c>
      <c r="N192" s="15" t="str">
        <f t="shared" si="6"/>
        <v>B8</v>
      </c>
      <c r="O192" s="15" t="str">
        <f t="shared" si="5"/>
        <v>10111000</v>
      </c>
      <c r="P192" s="20"/>
      <c r="Q192" s="16"/>
    </row>
    <row r="193" spans="12:17">
      <c r="L193" s="13"/>
      <c r="M193" s="15">
        <v>185</v>
      </c>
      <c r="N193" s="15" t="str">
        <f t="shared" si="6"/>
        <v>B9</v>
      </c>
      <c r="O193" s="15" t="str">
        <f t="shared" si="5"/>
        <v>10111001</v>
      </c>
      <c r="P193" s="20"/>
      <c r="Q193" s="16"/>
    </row>
    <row r="194" spans="12:17">
      <c r="L194" s="13"/>
      <c r="M194" s="15">
        <v>186</v>
      </c>
      <c r="N194" s="15" t="str">
        <f t="shared" si="6"/>
        <v>BA</v>
      </c>
      <c r="O194" s="15" t="str">
        <f t="shared" si="5"/>
        <v>10111010</v>
      </c>
      <c r="P194" s="20"/>
      <c r="Q194" s="16"/>
    </row>
    <row r="195" spans="12:17">
      <c r="L195" s="13"/>
      <c r="M195" s="15">
        <v>187</v>
      </c>
      <c r="N195" s="15" t="str">
        <f t="shared" si="6"/>
        <v>BB</v>
      </c>
      <c r="O195" s="15" t="str">
        <f t="shared" si="5"/>
        <v>10111011</v>
      </c>
      <c r="P195" s="20"/>
      <c r="Q195" s="16"/>
    </row>
    <row r="196" spans="12:17">
      <c r="L196" s="13"/>
      <c r="M196" s="15">
        <v>188</v>
      </c>
      <c r="N196" s="15" t="str">
        <f t="shared" si="6"/>
        <v>BC</v>
      </c>
      <c r="O196" s="15" t="str">
        <f t="shared" si="5"/>
        <v>10111100</v>
      </c>
      <c r="P196" s="20"/>
      <c r="Q196" s="16"/>
    </row>
    <row r="197" spans="12:17">
      <c r="L197" s="13"/>
      <c r="M197" s="15">
        <v>189</v>
      </c>
      <c r="N197" s="15" t="str">
        <f t="shared" si="6"/>
        <v>BD</v>
      </c>
      <c r="O197" s="15" t="str">
        <f t="shared" si="5"/>
        <v>10111101</v>
      </c>
      <c r="P197" s="20"/>
      <c r="Q197" s="16"/>
    </row>
    <row r="198" spans="12:17">
      <c r="L198" s="13"/>
      <c r="M198" s="15">
        <v>190</v>
      </c>
      <c r="N198" s="15" t="str">
        <f t="shared" si="6"/>
        <v>BE</v>
      </c>
      <c r="O198" s="15" t="str">
        <f t="shared" si="5"/>
        <v>10111110</v>
      </c>
      <c r="P198" s="20"/>
      <c r="Q198" s="16"/>
    </row>
    <row r="199" spans="12:17">
      <c r="L199" s="13"/>
      <c r="M199" s="15">
        <v>191</v>
      </c>
      <c r="N199" s="15" t="str">
        <f t="shared" si="6"/>
        <v>BF</v>
      </c>
      <c r="O199" s="15" t="str">
        <f t="shared" si="5"/>
        <v>10111111</v>
      </c>
      <c r="P199" s="20"/>
      <c r="Q199" s="16"/>
    </row>
    <row r="200" spans="12:17">
      <c r="L200" s="13"/>
      <c r="M200" s="15">
        <v>192</v>
      </c>
      <c r="N200" s="15" t="str">
        <f t="shared" si="6"/>
        <v>C0</v>
      </c>
      <c r="O200" s="15" t="str">
        <f t="shared" ref="O200:O263" si="7">HEX2BIN(N200)</f>
        <v>11000000</v>
      </c>
      <c r="P200" s="20"/>
      <c r="Q200" s="16"/>
    </row>
    <row r="201" spans="12:17">
      <c r="L201" s="13"/>
      <c r="M201" s="15">
        <v>193</v>
      </c>
      <c r="N201" s="15" t="str">
        <f t="shared" si="6"/>
        <v>C1</v>
      </c>
      <c r="O201" s="15" t="str">
        <f t="shared" si="7"/>
        <v>11000001</v>
      </c>
      <c r="P201" s="20"/>
      <c r="Q201" s="16"/>
    </row>
    <row r="202" spans="12:17">
      <c r="L202" s="13"/>
      <c r="M202" s="15">
        <v>194</v>
      </c>
      <c r="N202" s="15" t="str">
        <f t="shared" ref="N202:N262" si="8">DEC2HEX(M202)</f>
        <v>C2</v>
      </c>
      <c r="O202" s="15" t="str">
        <f t="shared" si="7"/>
        <v>11000010</v>
      </c>
      <c r="P202" s="20"/>
      <c r="Q202" s="16"/>
    </row>
    <row r="203" spans="12:17">
      <c r="L203" s="13"/>
      <c r="M203" s="15">
        <v>195</v>
      </c>
      <c r="N203" s="15" t="str">
        <f t="shared" si="8"/>
        <v>C3</v>
      </c>
      <c r="O203" s="15" t="str">
        <f t="shared" si="7"/>
        <v>11000011</v>
      </c>
      <c r="P203" s="20"/>
      <c r="Q203" s="16"/>
    </row>
    <row r="204" spans="12:17">
      <c r="L204" s="13"/>
      <c r="M204" s="15">
        <v>196</v>
      </c>
      <c r="N204" s="15" t="str">
        <f t="shared" si="8"/>
        <v>C4</v>
      </c>
      <c r="O204" s="15" t="str">
        <f t="shared" si="7"/>
        <v>11000100</v>
      </c>
      <c r="P204" s="20"/>
      <c r="Q204" s="16"/>
    </row>
    <row r="205" spans="12:17">
      <c r="L205" s="13"/>
      <c r="M205" s="15">
        <v>197</v>
      </c>
      <c r="N205" s="15" t="str">
        <f t="shared" si="8"/>
        <v>C5</v>
      </c>
      <c r="O205" s="15" t="str">
        <f t="shared" si="7"/>
        <v>11000101</v>
      </c>
      <c r="P205" s="20"/>
      <c r="Q205" s="16"/>
    </row>
    <row r="206" spans="12:17">
      <c r="L206" s="13"/>
      <c r="M206" s="15">
        <v>198</v>
      </c>
      <c r="N206" s="15" t="str">
        <f t="shared" si="8"/>
        <v>C6</v>
      </c>
      <c r="O206" s="15" t="str">
        <f t="shared" si="7"/>
        <v>11000110</v>
      </c>
      <c r="P206" s="20"/>
      <c r="Q206" s="16"/>
    </row>
    <row r="207" spans="12:17">
      <c r="L207" s="13"/>
      <c r="M207" s="15">
        <v>199</v>
      </c>
      <c r="N207" s="15" t="str">
        <f t="shared" si="8"/>
        <v>C7</v>
      </c>
      <c r="O207" s="15" t="str">
        <f t="shared" si="7"/>
        <v>11000111</v>
      </c>
      <c r="P207" s="20"/>
      <c r="Q207" s="16"/>
    </row>
    <row r="208" spans="12:17">
      <c r="L208" s="13"/>
      <c r="M208" s="15">
        <v>200</v>
      </c>
      <c r="N208" s="15" t="str">
        <f t="shared" si="8"/>
        <v>C8</v>
      </c>
      <c r="O208" s="15" t="str">
        <f t="shared" si="7"/>
        <v>11001000</v>
      </c>
      <c r="P208" s="20"/>
      <c r="Q208" s="16"/>
    </row>
    <row r="209" spans="12:17">
      <c r="L209" s="13"/>
      <c r="M209" s="15">
        <v>201</v>
      </c>
      <c r="N209" s="15" t="str">
        <f t="shared" si="8"/>
        <v>C9</v>
      </c>
      <c r="O209" s="15" t="str">
        <f t="shared" si="7"/>
        <v>11001001</v>
      </c>
      <c r="P209" s="20"/>
      <c r="Q209" s="16"/>
    </row>
    <row r="210" spans="12:17">
      <c r="L210" s="13"/>
      <c r="M210" s="15">
        <v>202</v>
      </c>
      <c r="N210" s="15" t="str">
        <f t="shared" si="8"/>
        <v>CA</v>
      </c>
      <c r="O210" s="15" t="str">
        <f t="shared" si="7"/>
        <v>11001010</v>
      </c>
      <c r="P210" s="20"/>
      <c r="Q210" s="16"/>
    </row>
    <row r="211" spans="12:17">
      <c r="L211" s="13"/>
      <c r="M211" s="15">
        <v>203</v>
      </c>
      <c r="N211" s="15" t="str">
        <f t="shared" si="8"/>
        <v>CB</v>
      </c>
      <c r="O211" s="15" t="str">
        <f t="shared" si="7"/>
        <v>11001011</v>
      </c>
      <c r="P211" s="20"/>
      <c r="Q211" s="16"/>
    </row>
    <row r="212" spans="12:17">
      <c r="L212" s="13"/>
      <c r="M212" s="15">
        <v>204</v>
      </c>
      <c r="N212" s="15" t="str">
        <f t="shared" si="8"/>
        <v>CC</v>
      </c>
      <c r="O212" s="15" t="str">
        <f t="shared" si="7"/>
        <v>11001100</v>
      </c>
      <c r="P212" s="20"/>
      <c r="Q212" s="16"/>
    </row>
    <row r="213" spans="12:17">
      <c r="L213" s="13"/>
      <c r="M213" s="15">
        <v>205</v>
      </c>
      <c r="N213" s="15" t="str">
        <f t="shared" si="8"/>
        <v>CD</v>
      </c>
      <c r="O213" s="15" t="str">
        <f t="shared" si="7"/>
        <v>11001101</v>
      </c>
      <c r="P213" s="20"/>
      <c r="Q213" s="16"/>
    </row>
    <row r="214" spans="12:17">
      <c r="L214" s="13"/>
      <c r="M214" s="15">
        <v>206</v>
      </c>
      <c r="N214" s="15" t="str">
        <f t="shared" si="8"/>
        <v>CE</v>
      </c>
      <c r="O214" s="15" t="str">
        <f t="shared" si="7"/>
        <v>11001110</v>
      </c>
      <c r="P214" s="20"/>
      <c r="Q214" s="16"/>
    </row>
    <row r="215" spans="12:17">
      <c r="L215" s="13"/>
      <c r="M215" s="15">
        <v>207</v>
      </c>
      <c r="N215" s="15" t="str">
        <f t="shared" si="8"/>
        <v>CF</v>
      </c>
      <c r="O215" s="15" t="str">
        <f t="shared" si="7"/>
        <v>11001111</v>
      </c>
      <c r="P215" s="20"/>
      <c r="Q215" s="16"/>
    </row>
    <row r="216" spans="12:17">
      <c r="L216" s="13"/>
      <c r="M216" s="15">
        <v>208</v>
      </c>
      <c r="N216" s="15" t="str">
        <f t="shared" si="8"/>
        <v>D0</v>
      </c>
      <c r="O216" s="15" t="str">
        <f t="shared" si="7"/>
        <v>11010000</v>
      </c>
      <c r="P216" s="20"/>
      <c r="Q216" s="16"/>
    </row>
    <row r="217" spans="12:17">
      <c r="L217" s="13"/>
      <c r="M217" s="15">
        <v>209</v>
      </c>
      <c r="N217" s="15" t="str">
        <f t="shared" si="8"/>
        <v>D1</v>
      </c>
      <c r="O217" s="15" t="str">
        <f t="shared" si="7"/>
        <v>11010001</v>
      </c>
      <c r="P217" s="20"/>
      <c r="Q217" s="16"/>
    </row>
    <row r="218" spans="12:17">
      <c r="L218" s="13"/>
      <c r="M218" s="15">
        <v>210</v>
      </c>
      <c r="N218" s="15" t="str">
        <f t="shared" si="8"/>
        <v>D2</v>
      </c>
      <c r="O218" s="15" t="str">
        <f t="shared" si="7"/>
        <v>11010010</v>
      </c>
      <c r="P218" s="20"/>
      <c r="Q218" s="16"/>
    </row>
    <row r="219" spans="12:17">
      <c r="L219" s="13"/>
      <c r="M219" s="15">
        <v>211</v>
      </c>
      <c r="N219" s="15" t="str">
        <f t="shared" si="8"/>
        <v>D3</v>
      </c>
      <c r="O219" s="15" t="str">
        <f t="shared" si="7"/>
        <v>11010011</v>
      </c>
      <c r="P219" s="20"/>
      <c r="Q219" s="16"/>
    </row>
    <row r="220" spans="12:17">
      <c r="L220" s="13"/>
      <c r="M220" s="15">
        <v>212</v>
      </c>
      <c r="N220" s="15" t="str">
        <f t="shared" si="8"/>
        <v>D4</v>
      </c>
      <c r="O220" s="15" t="str">
        <f t="shared" si="7"/>
        <v>11010100</v>
      </c>
      <c r="P220" s="20"/>
      <c r="Q220" s="16"/>
    </row>
    <row r="221" spans="12:17">
      <c r="L221" s="13"/>
      <c r="M221" s="15">
        <v>213</v>
      </c>
      <c r="N221" s="15" t="str">
        <f t="shared" si="8"/>
        <v>D5</v>
      </c>
      <c r="O221" s="15" t="str">
        <f t="shared" si="7"/>
        <v>11010101</v>
      </c>
      <c r="P221" s="20"/>
      <c r="Q221" s="16"/>
    </row>
    <row r="222" spans="12:17">
      <c r="L222" s="13"/>
      <c r="M222" s="15">
        <v>214</v>
      </c>
      <c r="N222" s="15" t="str">
        <f t="shared" si="8"/>
        <v>D6</v>
      </c>
      <c r="O222" s="15" t="str">
        <f t="shared" si="7"/>
        <v>11010110</v>
      </c>
      <c r="P222" s="20"/>
      <c r="Q222" s="16"/>
    </row>
    <row r="223" spans="12:17">
      <c r="L223" s="13"/>
      <c r="M223" s="15">
        <v>215</v>
      </c>
      <c r="N223" s="15" t="str">
        <f t="shared" si="8"/>
        <v>D7</v>
      </c>
      <c r="O223" s="15" t="str">
        <f t="shared" si="7"/>
        <v>11010111</v>
      </c>
      <c r="P223" s="20"/>
      <c r="Q223" s="16"/>
    </row>
    <row r="224" spans="12:17">
      <c r="L224" s="13"/>
      <c r="M224" s="15">
        <v>216</v>
      </c>
      <c r="N224" s="15" t="str">
        <f t="shared" si="8"/>
        <v>D8</v>
      </c>
      <c r="O224" s="15" t="str">
        <f t="shared" si="7"/>
        <v>11011000</v>
      </c>
      <c r="P224" s="20"/>
      <c r="Q224" s="16"/>
    </row>
    <row r="225" spans="12:17">
      <c r="L225" s="13"/>
      <c r="M225" s="15">
        <v>217</v>
      </c>
      <c r="N225" s="15" t="str">
        <f t="shared" si="8"/>
        <v>D9</v>
      </c>
      <c r="O225" s="15" t="str">
        <f t="shared" si="7"/>
        <v>11011001</v>
      </c>
      <c r="P225" s="20"/>
      <c r="Q225" s="16"/>
    </row>
    <row r="226" spans="12:17">
      <c r="L226" s="13"/>
      <c r="M226" s="15">
        <v>218</v>
      </c>
      <c r="N226" s="15" t="str">
        <f t="shared" si="8"/>
        <v>DA</v>
      </c>
      <c r="O226" s="15" t="str">
        <f t="shared" si="7"/>
        <v>11011010</v>
      </c>
      <c r="P226" s="20"/>
      <c r="Q226" s="16"/>
    </row>
    <row r="227" spans="12:17">
      <c r="L227" s="13"/>
      <c r="M227" s="15">
        <v>219</v>
      </c>
      <c r="N227" s="15" t="str">
        <f t="shared" si="8"/>
        <v>DB</v>
      </c>
      <c r="O227" s="15" t="str">
        <f t="shared" si="7"/>
        <v>11011011</v>
      </c>
      <c r="P227" s="20"/>
      <c r="Q227" s="16"/>
    </row>
    <row r="228" spans="12:17">
      <c r="L228" s="13"/>
      <c r="M228" s="15">
        <v>220</v>
      </c>
      <c r="N228" s="15" t="str">
        <f t="shared" si="8"/>
        <v>DC</v>
      </c>
      <c r="O228" s="15" t="str">
        <f t="shared" si="7"/>
        <v>11011100</v>
      </c>
      <c r="P228" s="20"/>
      <c r="Q228" s="16"/>
    </row>
    <row r="229" spans="12:17">
      <c r="L229" s="13"/>
      <c r="M229" s="15">
        <v>221</v>
      </c>
      <c r="N229" s="15" t="str">
        <f t="shared" si="8"/>
        <v>DD</v>
      </c>
      <c r="O229" s="15" t="str">
        <f t="shared" si="7"/>
        <v>11011101</v>
      </c>
      <c r="P229" s="20"/>
      <c r="Q229" s="16"/>
    </row>
    <row r="230" spans="12:17">
      <c r="L230" s="13"/>
      <c r="M230" s="15">
        <v>222</v>
      </c>
      <c r="N230" s="15" t="str">
        <f t="shared" si="8"/>
        <v>DE</v>
      </c>
      <c r="O230" s="15" t="str">
        <f t="shared" si="7"/>
        <v>11011110</v>
      </c>
      <c r="P230" s="20"/>
      <c r="Q230" s="16"/>
    </row>
    <row r="231" spans="12:17">
      <c r="L231" s="13"/>
      <c r="M231" s="15">
        <v>223</v>
      </c>
      <c r="N231" s="15" t="str">
        <f t="shared" si="8"/>
        <v>DF</v>
      </c>
      <c r="O231" s="15" t="str">
        <f t="shared" si="7"/>
        <v>11011111</v>
      </c>
      <c r="P231" s="20"/>
      <c r="Q231" s="16"/>
    </row>
    <row r="232" spans="12:17">
      <c r="L232" s="13"/>
      <c r="M232" s="15">
        <v>224</v>
      </c>
      <c r="N232" s="15" t="str">
        <f t="shared" si="8"/>
        <v>E0</v>
      </c>
      <c r="O232" s="15" t="str">
        <f t="shared" si="7"/>
        <v>11100000</v>
      </c>
      <c r="P232" s="20"/>
      <c r="Q232" s="16"/>
    </row>
    <row r="233" spans="12:17">
      <c r="L233" s="13"/>
      <c r="M233" s="15">
        <v>225</v>
      </c>
      <c r="N233" s="15" t="str">
        <f t="shared" si="8"/>
        <v>E1</v>
      </c>
      <c r="O233" s="15" t="str">
        <f t="shared" si="7"/>
        <v>11100001</v>
      </c>
      <c r="P233" s="20"/>
      <c r="Q233" s="16"/>
    </row>
    <row r="234" spans="12:17">
      <c r="L234" s="13"/>
      <c r="M234" s="15">
        <v>226</v>
      </c>
      <c r="N234" s="15" t="str">
        <f t="shared" si="8"/>
        <v>E2</v>
      </c>
      <c r="O234" s="15" t="str">
        <f t="shared" si="7"/>
        <v>11100010</v>
      </c>
      <c r="P234" s="20"/>
      <c r="Q234" s="16"/>
    </row>
    <row r="235" spans="12:17">
      <c r="L235" s="13"/>
      <c r="M235" s="15">
        <v>227</v>
      </c>
      <c r="N235" s="15" t="str">
        <f t="shared" si="8"/>
        <v>E3</v>
      </c>
      <c r="O235" s="15" t="str">
        <f t="shared" si="7"/>
        <v>11100011</v>
      </c>
      <c r="P235" s="20"/>
      <c r="Q235" s="16"/>
    </row>
    <row r="236" spans="12:17">
      <c r="L236" s="13"/>
      <c r="M236" s="15">
        <v>228</v>
      </c>
      <c r="N236" s="15" t="str">
        <f t="shared" si="8"/>
        <v>E4</v>
      </c>
      <c r="O236" s="15" t="str">
        <f t="shared" si="7"/>
        <v>11100100</v>
      </c>
      <c r="P236" s="20"/>
      <c r="Q236" s="16"/>
    </row>
    <row r="237" spans="12:17">
      <c r="L237" s="13"/>
      <c r="M237" s="15">
        <v>229</v>
      </c>
      <c r="N237" s="15" t="str">
        <f t="shared" si="8"/>
        <v>E5</v>
      </c>
      <c r="O237" s="15" t="str">
        <f t="shared" si="7"/>
        <v>11100101</v>
      </c>
      <c r="P237" s="20"/>
      <c r="Q237" s="16"/>
    </row>
    <row r="238" spans="12:17">
      <c r="L238" s="13"/>
      <c r="M238" s="15">
        <v>230</v>
      </c>
      <c r="N238" s="15" t="str">
        <f t="shared" si="8"/>
        <v>E6</v>
      </c>
      <c r="O238" s="15" t="str">
        <f t="shared" si="7"/>
        <v>11100110</v>
      </c>
      <c r="P238" s="20"/>
      <c r="Q238" s="16"/>
    </row>
    <row r="239" spans="12:17">
      <c r="L239" s="13"/>
      <c r="M239" s="15">
        <v>231</v>
      </c>
      <c r="N239" s="15" t="str">
        <f t="shared" si="8"/>
        <v>E7</v>
      </c>
      <c r="O239" s="15" t="str">
        <f t="shared" si="7"/>
        <v>11100111</v>
      </c>
      <c r="P239" s="20"/>
      <c r="Q239" s="16"/>
    </row>
    <row r="240" spans="12:17">
      <c r="L240" s="13"/>
      <c r="M240" s="15">
        <v>232</v>
      </c>
      <c r="N240" s="15" t="str">
        <f t="shared" si="8"/>
        <v>E8</v>
      </c>
      <c r="O240" s="15" t="str">
        <f t="shared" si="7"/>
        <v>11101000</v>
      </c>
      <c r="P240" s="20"/>
      <c r="Q240" s="16"/>
    </row>
    <row r="241" spans="12:17">
      <c r="L241" s="13"/>
      <c r="M241" s="15">
        <v>233</v>
      </c>
      <c r="N241" s="15" t="str">
        <f t="shared" si="8"/>
        <v>E9</v>
      </c>
      <c r="O241" s="15" t="str">
        <f t="shared" si="7"/>
        <v>11101001</v>
      </c>
      <c r="P241" s="20"/>
      <c r="Q241" s="16"/>
    </row>
    <row r="242" spans="12:17">
      <c r="L242" s="13"/>
      <c r="M242" s="15">
        <v>234</v>
      </c>
      <c r="N242" s="15" t="str">
        <f t="shared" si="8"/>
        <v>EA</v>
      </c>
      <c r="O242" s="15" t="str">
        <f t="shared" si="7"/>
        <v>11101010</v>
      </c>
      <c r="P242" s="20"/>
      <c r="Q242" s="16"/>
    </row>
    <row r="243" spans="12:17">
      <c r="L243" s="13"/>
      <c r="M243" s="15">
        <v>235</v>
      </c>
      <c r="N243" s="15" t="str">
        <f t="shared" si="8"/>
        <v>EB</v>
      </c>
      <c r="O243" s="15" t="str">
        <f t="shared" si="7"/>
        <v>11101011</v>
      </c>
      <c r="P243" s="20"/>
      <c r="Q243" s="16"/>
    </row>
    <row r="244" spans="12:17">
      <c r="L244" s="13"/>
      <c r="M244" s="15">
        <v>236</v>
      </c>
      <c r="N244" s="15" t="str">
        <f t="shared" si="8"/>
        <v>EC</v>
      </c>
      <c r="O244" s="15" t="str">
        <f t="shared" si="7"/>
        <v>11101100</v>
      </c>
      <c r="P244" s="20"/>
      <c r="Q244" s="16"/>
    </row>
    <row r="245" spans="12:17">
      <c r="L245" s="13"/>
      <c r="M245" s="15">
        <v>237</v>
      </c>
      <c r="N245" s="15" t="str">
        <f t="shared" si="8"/>
        <v>ED</v>
      </c>
      <c r="O245" s="15" t="str">
        <f t="shared" si="7"/>
        <v>11101101</v>
      </c>
      <c r="P245" s="20"/>
      <c r="Q245" s="16"/>
    </row>
    <row r="246" spans="12:17">
      <c r="L246" s="13"/>
      <c r="M246" s="15">
        <v>238</v>
      </c>
      <c r="N246" s="15" t="str">
        <f t="shared" si="8"/>
        <v>EE</v>
      </c>
      <c r="O246" s="15" t="str">
        <f t="shared" si="7"/>
        <v>11101110</v>
      </c>
      <c r="P246" s="20"/>
      <c r="Q246" s="16"/>
    </row>
    <row r="247" spans="12:17">
      <c r="L247" s="13"/>
      <c r="M247" s="15">
        <v>239</v>
      </c>
      <c r="N247" s="15" t="str">
        <f t="shared" si="8"/>
        <v>EF</v>
      </c>
      <c r="O247" s="15" t="str">
        <f t="shared" si="7"/>
        <v>11101111</v>
      </c>
      <c r="P247" s="20"/>
      <c r="Q247" s="16"/>
    </row>
    <row r="248" spans="12:17">
      <c r="L248" s="13"/>
      <c r="M248" s="15">
        <v>240</v>
      </c>
      <c r="N248" s="15" t="str">
        <f t="shared" si="8"/>
        <v>F0</v>
      </c>
      <c r="O248" s="15" t="str">
        <f t="shared" si="7"/>
        <v>11110000</v>
      </c>
      <c r="P248" s="20"/>
      <c r="Q248" s="16"/>
    </row>
    <row r="249" spans="12:17">
      <c r="L249" s="13"/>
      <c r="M249" s="15">
        <v>241</v>
      </c>
      <c r="N249" s="15" t="str">
        <f t="shared" si="8"/>
        <v>F1</v>
      </c>
      <c r="O249" s="15" t="str">
        <f t="shared" si="7"/>
        <v>11110001</v>
      </c>
      <c r="P249" s="20"/>
      <c r="Q249" s="16"/>
    </row>
    <row r="250" spans="12:17">
      <c r="L250" s="13"/>
      <c r="M250" s="15">
        <v>242</v>
      </c>
      <c r="N250" s="15" t="str">
        <f t="shared" si="8"/>
        <v>F2</v>
      </c>
      <c r="O250" s="15" t="str">
        <f t="shared" si="7"/>
        <v>11110010</v>
      </c>
      <c r="P250" s="20"/>
      <c r="Q250" s="16"/>
    </row>
    <row r="251" spans="12:17">
      <c r="L251" s="13"/>
      <c r="M251" s="15">
        <v>243</v>
      </c>
      <c r="N251" s="15" t="str">
        <f t="shared" si="8"/>
        <v>F3</v>
      </c>
      <c r="O251" s="15" t="str">
        <f t="shared" si="7"/>
        <v>11110011</v>
      </c>
      <c r="P251" s="20"/>
      <c r="Q251" s="16"/>
    </row>
    <row r="252" spans="12:17">
      <c r="L252" s="13"/>
      <c r="M252" s="15">
        <v>244</v>
      </c>
      <c r="N252" s="15" t="str">
        <f t="shared" si="8"/>
        <v>F4</v>
      </c>
      <c r="O252" s="15" t="str">
        <f t="shared" si="7"/>
        <v>11110100</v>
      </c>
      <c r="P252" s="20"/>
      <c r="Q252" s="16"/>
    </row>
    <row r="253" spans="12:17">
      <c r="L253" s="13"/>
      <c r="M253" s="15">
        <v>245</v>
      </c>
      <c r="N253" s="15" t="str">
        <f t="shared" si="8"/>
        <v>F5</v>
      </c>
      <c r="O253" s="15" t="str">
        <f t="shared" si="7"/>
        <v>11110101</v>
      </c>
      <c r="P253" s="20"/>
      <c r="Q253" s="16"/>
    </row>
    <row r="254" spans="12:17">
      <c r="L254" s="13"/>
      <c r="M254" s="15">
        <v>246</v>
      </c>
      <c r="N254" s="15" t="str">
        <f t="shared" si="8"/>
        <v>F6</v>
      </c>
      <c r="O254" s="15" t="str">
        <f t="shared" si="7"/>
        <v>11110110</v>
      </c>
      <c r="P254" s="20"/>
      <c r="Q254" s="16"/>
    </row>
    <row r="255" spans="12:17">
      <c r="L255" s="13"/>
      <c r="M255" s="15">
        <v>247</v>
      </c>
      <c r="N255" s="15" t="str">
        <f t="shared" si="8"/>
        <v>F7</v>
      </c>
      <c r="O255" s="15" t="str">
        <f t="shared" si="7"/>
        <v>11110111</v>
      </c>
      <c r="P255" s="20"/>
      <c r="Q255" s="16"/>
    </row>
    <row r="256" spans="12:17">
      <c r="L256" s="13"/>
      <c r="M256" s="15">
        <v>248</v>
      </c>
      <c r="N256" s="15" t="str">
        <f t="shared" si="8"/>
        <v>F8</v>
      </c>
      <c r="O256" s="15" t="str">
        <f t="shared" si="7"/>
        <v>11111000</v>
      </c>
      <c r="P256" s="20"/>
      <c r="Q256" s="16"/>
    </row>
    <row r="257" spans="12:17">
      <c r="L257" s="13"/>
      <c r="M257" s="15">
        <v>249</v>
      </c>
      <c r="N257" s="15" t="str">
        <f t="shared" si="8"/>
        <v>F9</v>
      </c>
      <c r="O257" s="15" t="str">
        <f t="shared" si="7"/>
        <v>11111001</v>
      </c>
      <c r="P257" s="20"/>
      <c r="Q257" s="16"/>
    </row>
    <row r="258" spans="12:17">
      <c r="L258" s="13"/>
      <c r="M258" s="15">
        <v>250</v>
      </c>
      <c r="N258" s="15" t="str">
        <f t="shared" si="8"/>
        <v>FA</v>
      </c>
      <c r="O258" s="15" t="str">
        <f t="shared" si="7"/>
        <v>11111010</v>
      </c>
      <c r="P258" s="20"/>
      <c r="Q258" s="16"/>
    </row>
    <row r="259" spans="12:17">
      <c r="L259" s="13"/>
      <c r="M259" s="15">
        <v>251</v>
      </c>
      <c r="N259" s="15" t="str">
        <f t="shared" si="8"/>
        <v>FB</v>
      </c>
      <c r="O259" s="15" t="str">
        <f t="shared" si="7"/>
        <v>11111011</v>
      </c>
      <c r="P259" s="20"/>
      <c r="Q259" s="16"/>
    </row>
    <row r="260" spans="12:17">
      <c r="L260" s="13"/>
      <c r="M260" s="15">
        <v>252</v>
      </c>
      <c r="N260" s="15" t="str">
        <f t="shared" si="8"/>
        <v>FC</v>
      </c>
      <c r="O260" s="15" t="str">
        <f t="shared" si="7"/>
        <v>11111100</v>
      </c>
      <c r="P260" s="20"/>
      <c r="Q260" s="16"/>
    </row>
    <row r="261" spans="12:17">
      <c r="L261" s="13"/>
      <c r="M261" s="15">
        <v>253</v>
      </c>
      <c r="N261" s="15" t="str">
        <f t="shared" si="8"/>
        <v>FD</v>
      </c>
      <c r="O261" s="15" t="str">
        <f t="shared" si="7"/>
        <v>11111101</v>
      </c>
      <c r="P261" s="20"/>
      <c r="Q261" s="16"/>
    </row>
    <row r="262" spans="12:17">
      <c r="L262" s="13"/>
      <c r="M262" s="15">
        <v>254</v>
      </c>
      <c r="N262" s="15" t="str">
        <f t="shared" si="8"/>
        <v>FE</v>
      </c>
      <c r="O262" s="15" t="str">
        <f t="shared" si="7"/>
        <v>11111110</v>
      </c>
      <c r="P262" s="20"/>
      <c r="Q262" s="16"/>
    </row>
    <row r="263" spans="12:17" ht="13.5" thickBot="1">
      <c r="L263" s="32"/>
      <c r="M263" s="33">
        <v>255</v>
      </c>
      <c r="N263" s="33" t="str">
        <f>DEC2HEX(M263)</f>
        <v>FF</v>
      </c>
      <c r="O263" s="33" t="str">
        <f t="shared" si="7"/>
        <v>11111111</v>
      </c>
      <c r="P263" s="20"/>
      <c r="Q263" s="34"/>
    </row>
  </sheetData>
  <mergeCells count="1">
    <mergeCell ref="M6:N6"/>
  </mergeCells>
  <phoneticPr fontId="0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36"/>
  <sheetViews>
    <sheetView workbookViewId="0">
      <selection activeCell="B17" sqref="B17:B19"/>
    </sheetView>
  </sheetViews>
  <sheetFormatPr defaultRowHeight="12.75"/>
  <cols>
    <col min="1" max="1" width="9.140625" style="57"/>
    <col min="2" max="2" width="11" style="57" customWidth="1"/>
    <col min="3" max="3" width="78.28515625" style="57" customWidth="1"/>
    <col min="4" max="16384" width="9.140625" style="57"/>
  </cols>
  <sheetData>
    <row r="1" spans="1:3">
      <c r="A1" s="55" t="s">
        <v>0</v>
      </c>
      <c r="B1" s="55" t="s">
        <v>1</v>
      </c>
      <c r="C1" s="56" t="s">
        <v>2</v>
      </c>
    </row>
    <row r="2" spans="1:3">
      <c r="A2" s="55">
        <v>1</v>
      </c>
      <c r="B2" s="55" t="s">
        <v>3</v>
      </c>
      <c r="C2" s="58" t="s">
        <v>4</v>
      </c>
    </row>
    <row r="3" spans="1:3">
      <c r="A3" s="55">
        <v>2</v>
      </c>
      <c r="B3" s="55" t="s">
        <v>3</v>
      </c>
      <c r="C3" s="58" t="s">
        <v>5</v>
      </c>
    </row>
    <row r="4" spans="1:3">
      <c r="A4" s="55">
        <v>3</v>
      </c>
      <c r="B4" s="55" t="s">
        <v>3</v>
      </c>
      <c r="C4" s="58" t="s">
        <v>6</v>
      </c>
    </row>
    <row r="5" spans="1:3">
      <c r="A5" s="55">
        <v>4</v>
      </c>
      <c r="B5" s="55" t="s">
        <v>7</v>
      </c>
      <c r="C5" s="58" t="s">
        <v>8</v>
      </c>
    </row>
    <row r="6" spans="1:3" ht="25.5">
      <c r="A6" s="55">
        <v>5</v>
      </c>
      <c r="B6" s="55" t="s">
        <v>9</v>
      </c>
      <c r="C6" s="58" t="s">
        <v>10</v>
      </c>
    </row>
    <row r="7" spans="1:3" ht="25.5">
      <c r="A7" s="55">
        <v>6</v>
      </c>
      <c r="B7" s="55" t="s">
        <v>9</v>
      </c>
      <c r="C7" s="58" t="s">
        <v>11</v>
      </c>
    </row>
    <row r="8" spans="1:3">
      <c r="A8" s="55">
        <v>7</v>
      </c>
      <c r="B8" s="55" t="s">
        <v>9</v>
      </c>
      <c r="C8" s="58" t="s">
        <v>12</v>
      </c>
    </row>
    <row r="9" spans="1:3">
      <c r="A9" s="55">
        <v>8</v>
      </c>
      <c r="B9" s="55" t="s">
        <v>9</v>
      </c>
      <c r="C9" s="58" t="s">
        <v>13</v>
      </c>
    </row>
    <row r="10" spans="1:3">
      <c r="A10" s="55">
        <v>9</v>
      </c>
      <c r="B10" s="55" t="s">
        <v>9</v>
      </c>
      <c r="C10" s="58" t="s">
        <v>14</v>
      </c>
    </row>
    <row r="11" spans="1:3">
      <c r="A11" s="55" t="s">
        <v>15</v>
      </c>
      <c r="B11" s="55" t="s">
        <v>16</v>
      </c>
      <c r="C11" s="58" t="s">
        <v>17</v>
      </c>
    </row>
    <row r="12" spans="1:3" ht="25.5">
      <c r="A12" s="55" t="s">
        <v>18</v>
      </c>
      <c r="B12" s="55" t="s">
        <v>3</v>
      </c>
      <c r="C12" s="81" t="s">
        <v>132</v>
      </c>
    </row>
    <row r="13" spans="1:3">
      <c r="A13" s="55" t="s">
        <v>19</v>
      </c>
      <c r="B13" s="55">
        <v>0</v>
      </c>
      <c r="C13" s="58" t="s">
        <v>20</v>
      </c>
    </row>
    <row r="14" spans="1:3">
      <c r="A14" s="59" t="s">
        <v>70</v>
      </c>
      <c r="B14" s="59" t="s">
        <v>71</v>
      </c>
      <c r="C14" s="60" t="s">
        <v>72</v>
      </c>
    </row>
    <row r="16" spans="1:3">
      <c r="A16" s="57" t="s">
        <v>69</v>
      </c>
    </row>
    <row r="17" spans="1:2">
      <c r="A17" s="57">
        <v>1</v>
      </c>
      <c r="B17" s="84"/>
    </row>
    <row r="18" spans="1:2">
      <c r="A18" s="57">
        <v>2</v>
      </c>
      <c r="B18" s="84"/>
    </row>
    <row r="19" spans="1:2">
      <c r="A19" s="57">
        <v>3</v>
      </c>
      <c r="B19" s="61"/>
    </row>
    <row r="20" spans="1:2">
      <c r="A20" s="57">
        <v>4</v>
      </c>
      <c r="B20" s="84"/>
    </row>
    <row r="21" spans="1:2">
      <c r="A21" s="57">
        <v>5</v>
      </c>
      <c r="B21" s="84"/>
    </row>
    <row r="22" spans="1:2">
      <c r="A22" s="57">
        <v>6</v>
      </c>
      <c r="B22" s="61"/>
    </row>
    <row r="23" spans="1:2">
      <c r="A23" s="57">
        <v>7</v>
      </c>
      <c r="B23" s="61"/>
    </row>
    <row r="24" spans="1:2">
      <c r="A24" s="57">
        <v>8</v>
      </c>
      <c r="B24" s="61"/>
    </row>
    <row r="25" spans="1:2">
      <c r="A25" s="57">
        <v>9</v>
      </c>
      <c r="B25" s="61"/>
    </row>
    <row r="26" spans="1:2">
      <c r="A26" s="57">
        <v>10</v>
      </c>
      <c r="B26" s="61"/>
    </row>
    <row r="27" spans="1:2">
      <c r="A27" s="57">
        <v>11</v>
      </c>
      <c r="B27" s="61"/>
    </row>
    <row r="28" spans="1:2">
      <c r="A28" s="57">
        <v>12</v>
      </c>
      <c r="B28" s="61"/>
    </row>
    <row r="29" spans="1:2">
      <c r="A29" s="57">
        <v>13</v>
      </c>
      <c r="B29" s="61"/>
    </row>
    <row r="30" spans="1:2">
      <c r="A30" s="57">
        <v>14</v>
      </c>
      <c r="B30" s="61"/>
    </row>
    <row r="31" spans="1:2">
      <c r="A31" s="57">
        <v>15</v>
      </c>
      <c r="B31" s="61"/>
    </row>
    <row r="32" spans="1:2">
      <c r="A32" s="57">
        <v>16</v>
      </c>
      <c r="B32" s="61"/>
    </row>
    <row r="33" spans="1:2">
      <c r="A33" s="57">
        <v>17</v>
      </c>
      <c r="B33" s="61"/>
    </row>
    <row r="34" spans="1:2">
      <c r="A34" s="57">
        <v>18</v>
      </c>
      <c r="B34" s="61"/>
    </row>
    <row r="35" spans="1:2">
      <c r="A35" s="57">
        <v>19</v>
      </c>
      <c r="B35" s="61"/>
    </row>
    <row r="36" spans="1:2">
      <c r="A36" s="57">
        <v>20</v>
      </c>
      <c r="B36" s="61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M276"/>
  <sheetViews>
    <sheetView topLeftCell="A10" workbookViewId="0">
      <selection activeCell="C39" sqref="C39"/>
    </sheetView>
  </sheetViews>
  <sheetFormatPr defaultRowHeight="12.75"/>
  <sheetData>
    <row r="1" spans="1:65">
      <c r="A1" s="62" t="s">
        <v>0</v>
      </c>
      <c r="B1" s="62" t="s">
        <v>1</v>
      </c>
      <c r="C1" s="63" t="s">
        <v>2</v>
      </c>
      <c r="D1" s="63"/>
      <c r="E1" s="63"/>
      <c r="F1" s="63"/>
      <c r="G1" s="63"/>
      <c r="H1" s="63"/>
    </row>
    <row r="2" spans="1:65">
      <c r="A2" s="62">
        <v>1</v>
      </c>
      <c r="B2" s="62" t="s">
        <v>3</v>
      </c>
      <c r="C2" s="63" t="s">
        <v>77</v>
      </c>
      <c r="D2" s="63" t="s">
        <v>76</v>
      </c>
      <c r="E2" s="63" t="s">
        <v>96</v>
      </c>
      <c r="F2" s="63" t="s">
        <v>78</v>
      </c>
      <c r="G2" s="63"/>
      <c r="H2" s="63"/>
      <c r="K2">
        <f>COMPUTER!$B$3+1</f>
        <v>1</v>
      </c>
    </row>
    <row r="3" spans="1:65">
      <c r="A3" s="62">
        <v>2</v>
      </c>
      <c r="B3" s="62" t="s">
        <v>3</v>
      </c>
      <c r="C3" s="63" t="s">
        <v>77</v>
      </c>
      <c r="D3" s="63" t="s">
        <v>76</v>
      </c>
      <c r="E3" s="63" t="s">
        <v>95</v>
      </c>
      <c r="F3" s="63" t="s">
        <v>79</v>
      </c>
      <c r="G3" s="63"/>
      <c r="H3" s="63"/>
      <c r="K3">
        <f>C39+1</f>
        <v>1</v>
      </c>
    </row>
    <row r="4" spans="1:65">
      <c r="A4" s="62">
        <v>3</v>
      </c>
      <c r="B4" s="62" t="s">
        <v>3</v>
      </c>
      <c r="C4" s="63" t="s">
        <v>81</v>
      </c>
      <c r="D4" s="63" t="s">
        <v>80</v>
      </c>
      <c r="E4" s="63" t="s">
        <v>128</v>
      </c>
      <c r="F4" s="63" t="s">
        <v>79</v>
      </c>
      <c r="G4" s="63"/>
      <c r="H4" s="63"/>
    </row>
    <row r="5" spans="1:65">
      <c r="A5" s="62">
        <v>4</v>
      </c>
      <c r="B5" s="62" t="s">
        <v>7</v>
      </c>
      <c r="C5" s="83" t="s">
        <v>82</v>
      </c>
      <c r="D5" s="63" t="s">
        <v>80</v>
      </c>
      <c r="E5" s="63" t="s">
        <v>129</v>
      </c>
      <c r="F5" s="63" t="s">
        <v>83</v>
      </c>
      <c r="G5" s="63"/>
      <c r="H5" s="63"/>
    </row>
    <row r="6" spans="1:65">
      <c r="A6" s="62">
        <v>5</v>
      </c>
      <c r="B6" s="62" t="s">
        <v>9</v>
      </c>
      <c r="C6" s="83" t="s">
        <v>84</v>
      </c>
      <c r="D6" s="63" t="s">
        <v>85</v>
      </c>
      <c r="E6" s="63" t="s">
        <v>97</v>
      </c>
      <c r="F6" s="63" t="s">
        <v>86</v>
      </c>
      <c r="G6" s="63" t="s">
        <v>98</v>
      </c>
      <c r="H6" s="63" t="s">
        <v>76</v>
      </c>
    </row>
    <row r="7" spans="1:65">
      <c r="A7" s="62">
        <v>6</v>
      </c>
      <c r="B7" s="62" t="s">
        <v>9</v>
      </c>
      <c r="C7" s="83" t="s">
        <v>84</v>
      </c>
      <c r="D7" s="63" t="s">
        <v>85</v>
      </c>
      <c r="E7" s="63" t="s">
        <v>97</v>
      </c>
      <c r="F7" s="63" t="s">
        <v>86</v>
      </c>
      <c r="G7" s="63" t="s">
        <v>99</v>
      </c>
      <c r="H7" s="63" t="s">
        <v>76</v>
      </c>
    </row>
    <row r="8" spans="1:65">
      <c r="A8" s="62">
        <v>7</v>
      </c>
      <c r="B8" s="62" t="s">
        <v>9</v>
      </c>
      <c r="C8" s="83" t="s">
        <v>136</v>
      </c>
      <c r="D8" s="63" t="s">
        <v>85</v>
      </c>
      <c r="E8" s="63" t="s">
        <v>97</v>
      </c>
      <c r="F8" s="63" t="s">
        <v>86</v>
      </c>
      <c r="G8" s="63" t="s">
        <v>100</v>
      </c>
      <c r="H8" s="63" t="s">
        <v>76</v>
      </c>
    </row>
    <row r="9" spans="1:65">
      <c r="A9" s="62">
        <v>8</v>
      </c>
      <c r="B9" s="62" t="s">
        <v>9</v>
      </c>
      <c r="C9" s="83" t="s">
        <v>137</v>
      </c>
      <c r="D9" s="63" t="s">
        <v>85</v>
      </c>
      <c r="E9" s="63" t="s">
        <v>97</v>
      </c>
      <c r="F9" s="63" t="s">
        <v>86</v>
      </c>
      <c r="G9" s="63" t="s">
        <v>100</v>
      </c>
      <c r="H9" s="63" t="s">
        <v>76</v>
      </c>
    </row>
    <row r="10" spans="1:65">
      <c r="A10" s="62">
        <v>9</v>
      </c>
      <c r="B10" s="62" t="s">
        <v>9</v>
      </c>
      <c r="C10" s="83" t="s">
        <v>87</v>
      </c>
      <c r="D10" s="63" t="s">
        <v>85</v>
      </c>
      <c r="E10" s="63" t="s">
        <v>97</v>
      </c>
      <c r="F10" s="63" t="s">
        <v>86</v>
      </c>
      <c r="G10" s="63" t="s">
        <v>100</v>
      </c>
      <c r="H10" s="63" t="s">
        <v>76</v>
      </c>
    </row>
    <row r="11" spans="1:65">
      <c r="A11" s="62" t="s">
        <v>15</v>
      </c>
      <c r="B11" s="62" t="s">
        <v>16</v>
      </c>
      <c r="C11" s="63" t="s">
        <v>88</v>
      </c>
      <c r="D11" s="63" t="s">
        <v>76</v>
      </c>
      <c r="E11" s="63" t="s">
        <v>101</v>
      </c>
      <c r="F11" s="63" t="s">
        <v>89</v>
      </c>
      <c r="G11" s="63" t="s">
        <v>130</v>
      </c>
      <c r="H11" s="63"/>
    </row>
    <row r="12" spans="1:65">
      <c r="A12" s="62" t="s">
        <v>18</v>
      </c>
      <c r="B12" s="62" t="s">
        <v>3</v>
      </c>
      <c r="C12" s="82" t="s">
        <v>135</v>
      </c>
      <c r="D12" s="63" t="s">
        <v>78</v>
      </c>
      <c r="E12" s="83" t="s">
        <v>133</v>
      </c>
      <c r="F12" s="63" t="s">
        <v>76</v>
      </c>
      <c r="G12" s="83" t="s">
        <v>134</v>
      </c>
      <c r="H12" s="63"/>
    </row>
    <row r="13" spans="1:65">
      <c r="A13" s="62" t="s">
        <v>19</v>
      </c>
      <c r="B13" s="62">
        <v>0</v>
      </c>
      <c r="C13" s="64" t="s">
        <v>20</v>
      </c>
      <c r="D13" s="63"/>
      <c r="E13" s="63"/>
      <c r="F13" s="63"/>
      <c r="G13" s="63"/>
      <c r="H13" s="63"/>
    </row>
    <row r="14" spans="1:65" ht="13.5" thickBot="1">
      <c r="R14" t="s">
        <v>54</v>
      </c>
      <c r="AW14" t="s">
        <v>104</v>
      </c>
      <c r="AY14" t="s">
        <v>105</v>
      </c>
      <c r="BB14" t="s">
        <v>47</v>
      </c>
      <c r="BK14" t="s">
        <v>108</v>
      </c>
      <c r="BM14" t="s">
        <v>107</v>
      </c>
    </row>
    <row r="15" spans="1:65">
      <c r="A15" s="35" t="s">
        <v>42</v>
      </c>
      <c r="B15" s="36"/>
      <c r="C15" s="36"/>
      <c r="D15" s="36"/>
      <c r="E15" s="37"/>
      <c r="F15" s="46" t="s">
        <v>43</v>
      </c>
      <c r="G15" s="36"/>
      <c r="H15" s="36"/>
      <c r="I15" s="36"/>
      <c r="J15" s="47" t="s">
        <v>45</v>
      </c>
      <c r="K15" s="48"/>
      <c r="L15" s="48"/>
      <c r="M15" s="49"/>
      <c r="N15" s="46" t="s">
        <v>49</v>
      </c>
      <c r="O15" s="36"/>
      <c r="P15" s="36"/>
      <c r="Q15" s="37"/>
      <c r="R15" s="46" t="s">
        <v>52</v>
      </c>
      <c r="S15" s="36"/>
      <c r="T15" s="36"/>
      <c r="U15" s="36"/>
      <c r="V15" s="46" t="s">
        <v>55</v>
      </c>
      <c r="W15" s="36"/>
      <c r="X15" s="36"/>
      <c r="Y15" s="36"/>
      <c r="Z15" s="36"/>
      <c r="AA15" s="37"/>
      <c r="AB15" s="46" t="s">
        <v>61</v>
      </c>
      <c r="AC15" s="36"/>
      <c r="AD15" s="36"/>
      <c r="AE15" s="36"/>
      <c r="AF15" s="36"/>
      <c r="AG15" s="37"/>
      <c r="AH15" s="46" t="s">
        <v>63</v>
      </c>
      <c r="AI15" s="36"/>
      <c r="AJ15" s="36"/>
      <c r="AK15" s="36"/>
      <c r="AL15" s="36"/>
      <c r="AM15" s="37"/>
      <c r="AN15" s="46" t="s">
        <v>64</v>
      </c>
      <c r="AO15" s="36"/>
      <c r="AP15" s="36"/>
      <c r="AQ15" s="36" t="s">
        <v>67</v>
      </c>
      <c r="AR15" s="36"/>
      <c r="AS15" s="37"/>
      <c r="AV15">
        <v>0</v>
      </c>
      <c r="AW15" t="e">
        <f>IF($H$43="1",D21,IF($H$43="2",I21,IF($H$43="4",Q21,IF(OR($H$43="5",$H$43="6" ),U21,IF($H$43="7",Y21,IF($H$43="8",AE21,IF($H$43="9",AK21,IF($H$43="A",AQ21,COMPUTER!C8))))))))</f>
        <v>#N/A</v>
      </c>
      <c r="AX15">
        <v>0</v>
      </c>
      <c r="AY15" t="e">
        <f>IF($H$43="3",M21,COMPUTER!P8)</f>
        <v>#N/A</v>
      </c>
      <c r="BA15">
        <v>0</v>
      </c>
      <c r="BB15" t="e">
        <f>IF(IF($B$43="Execute",AW15,COMPUTER!C8)=0,"",IF($B$43="Execute",AW15,COMPUTER!C8))</f>
        <v>#N/A</v>
      </c>
      <c r="BC15">
        <v>0</v>
      </c>
      <c r="BD15" t="e">
        <f>IF(IF($B$43="Execute",M21,COMPUTER!P8)=0,"",IF(AND($H$43="3",$B$43="Execute"),M21,COMPUTER!P8))</f>
        <v>#N/A</v>
      </c>
      <c r="BK15" s="15">
        <v>0</v>
      </c>
      <c r="BL15" s="77" t="s">
        <v>112</v>
      </c>
      <c r="BM15">
        <v>1</v>
      </c>
    </row>
    <row r="16" spans="1:65">
      <c r="A16" s="38" t="s">
        <v>39</v>
      </c>
      <c r="B16" s="39" t="s">
        <v>36</v>
      </c>
      <c r="C16" s="40" t="s">
        <v>28</v>
      </c>
      <c r="D16" s="40" t="s">
        <v>46</v>
      </c>
      <c r="E16" s="41"/>
      <c r="F16" s="42" t="s">
        <v>39</v>
      </c>
      <c r="G16" s="40" t="s">
        <v>36</v>
      </c>
      <c r="H16" s="40" t="s">
        <v>44</v>
      </c>
      <c r="I16" s="40"/>
      <c r="J16" s="50" t="s">
        <v>39</v>
      </c>
      <c r="K16" s="51" t="s">
        <v>28</v>
      </c>
      <c r="L16" s="51" t="s">
        <v>36</v>
      </c>
      <c r="M16" s="52" t="s">
        <v>47</v>
      </c>
      <c r="N16" s="50" t="s">
        <v>39</v>
      </c>
      <c r="O16" s="51" t="s">
        <v>51</v>
      </c>
      <c r="P16" s="51" t="s">
        <v>50</v>
      </c>
      <c r="Q16" s="52" t="s">
        <v>47</v>
      </c>
      <c r="R16" s="50" t="s">
        <v>39</v>
      </c>
      <c r="S16" s="51" t="s">
        <v>50</v>
      </c>
      <c r="T16" s="51" t="s">
        <v>51</v>
      </c>
      <c r="U16" s="51" t="s">
        <v>53</v>
      </c>
      <c r="V16" s="50" t="s">
        <v>39</v>
      </c>
      <c r="W16" s="51" t="s">
        <v>50</v>
      </c>
      <c r="X16" s="51" t="s">
        <v>51</v>
      </c>
      <c r="Y16" s="51" t="s">
        <v>53</v>
      </c>
      <c r="Z16" s="40"/>
      <c r="AA16" s="41"/>
      <c r="AB16" s="50" t="s">
        <v>39</v>
      </c>
      <c r="AC16" s="51" t="s">
        <v>50</v>
      </c>
      <c r="AD16" s="51" t="s">
        <v>51</v>
      </c>
      <c r="AE16" s="51" t="s">
        <v>53</v>
      </c>
      <c r="AF16" s="40"/>
      <c r="AG16" s="41"/>
      <c r="AH16" s="50" t="s">
        <v>39</v>
      </c>
      <c r="AI16" s="51" t="s">
        <v>50</v>
      </c>
      <c r="AJ16" s="51" t="s">
        <v>51</v>
      </c>
      <c r="AK16" s="51" t="s">
        <v>53</v>
      </c>
      <c r="AL16" s="40"/>
      <c r="AM16" s="41"/>
      <c r="AN16" s="50" t="s">
        <v>39</v>
      </c>
      <c r="AO16" s="51" t="s">
        <v>50</v>
      </c>
      <c r="AP16" s="51" t="s">
        <v>66</v>
      </c>
      <c r="AQ16" s="51"/>
      <c r="AR16" s="40"/>
      <c r="AS16" s="41"/>
      <c r="AV16">
        <v>1</v>
      </c>
      <c r="AW16" t="e">
        <f>IF($H$43="1",D22,IF($H$43="2",I22,IF($H$43="4",Q22,IF(OR($H$43="5",$H$43="6" ),U22,IF($H$43="7",Y22,IF($H$43="8",AE22,IF($H$43="9",AK22,IF($H$43="A",AQ22,COMPUTER!C9))))))))</f>
        <v>#N/A</v>
      </c>
      <c r="AX16">
        <v>1</v>
      </c>
      <c r="AY16" t="e">
        <f>IF($H$43="3",M22,COMPUTER!P9)</f>
        <v>#N/A</v>
      </c>
      <c r="BA16">
        <v>1</v>
      </c>
      <c r="BB16" t="e">
        <f>IF(IF($B$43="Execute",AW16,COMPUTER!C9)=0,"",IF($B$43="Execute",AW16,COMPUTER!C9))</f>
        <v>#N/A</v>
      </c>
      <c r="BC16">
        <v>1</v>
      </c>
      <c r="BD16" t="e">
        <f>IF(IF($B$43="Execute",M22,COMPUTER!P9)=0,"",IF(AND($H$43="3",$B$43="Execute"),M22,COMPUTER!P9))</f>
        <v>#N/A</v>
      </c>
      <c r="BK16" s="15">
        <v>1</v>
      </c>
      <c r="BL16" s="77" t="s">
        <v>113</v>
      </c>
      <c r="BM16">
        <f>BM15</f>
        <v>1</v>
      </c>
    </row>
    <row r="17" spans="1:65">
      <c r="A17" s="42">
        <v>1</v>
      </c>
      <c r="B17" s="40" t="e">
        <f>HEX2DEC(F44)</f>
        <v>#N/A</v>
      </c>
      <c r="C17" s="40" t="e">
        <f>HEX2DEC(G44&amp;H44)</f>
        <v>#N/A</v>
      </c>
      <c r="D17" s="40" t="e">
        <f>VLOOKUP(C17,COMPUTER!$M$8:$P$263,4,FALSE)</f>
        <v>#N/A</v>
      </c>
      <c r="E17" s="41"/>
      <c r="F17" s="42">
        <v>2</v>
      </c>
      <c r="G17" s="40" t="e">
        <f>HEX2DEC(F44)</f>
        <v>#N/A</v>
      </c>
      <c r="H17" s="40" t="e">
        <f>HEX2DEC(G44&amp;H44)</f>
        <v>#N/A</v>
      </c>
      <c r="I17" s="40"/>
      <c r="J17" s="50">
        <v>3</v>
      </c>
      <c r="K17" s="51" t="e">
        <f>HEX2DEC(G44&amp;H44)</f>
        <v>#N/A</v>
      </c>
      <c r="L17" s="51" t="e">
        <f>HEX2DEC(F44)</f>
        <v>#N/A</v>
      </c>
      <c r="M17" s="52" t="e">
        <f>VLOOKUP(L17,COMPUTER!$B$8:$C$23,2,FALSE)</f>
        <v>#N/A</v>
      </c>
      <c r="N17" s="50">
        <v>4</v>
      </c>
      <c r="O17" s="51" t="e">
        <f>HEX2DEC(H44)</f>
        <v>#N/A</v>
      </c>
      <c r="P17" s="51" t="e">
        <f>HEX2DEC(G44)</f>
        <v>#N/A</v>
      </c>
      <c r="Q17" s="41" t="e">
        <f>VLOOKUP(P17,COMPUTER!$B$8:$C$23,2,FALSE)</f>
        <v>#N/A</v>
      </c>
      <c r="R17" s="50">
        <v>5</v>
      </c>
      <c r="S17" s="51" t="e">
        <f>HEX2DEC(G44)</f>
        <v>#N/A</v>
      </c>
      <c r="T17" s="51" t="e">
        <f>HEX2DEC(H44)</f>
        <v>#N/A</v>
      </c>
      <c r="U17" s="51" t="e">
        <f>HEX2DEC(F44)</f>
        <v>#N/A</v>
      </c>
      <c r="V17" s="50">
        <v>7</v>
      </c>
      <c r="W17" t="e">
        <f>VLOOKUP(W19,$W$21:$X$36,2,FALSE)</f>
        <v>#N/A</v>
      </c>
      <c r="X17" t="e">
        <f>VLOOKUP(X19,$W$21:$X$36,2,FALSE)</f>
        <v>#N/A</v>
      </c>
      <c r="Z17" s="40"/>
      <c r="AA17" s="41"/>
      <c r="AB17" s="50">
        <v>8</v>
      </c>
      <c r="AC17" t="e">
        <f>VLOOKUP(AC19,$AC$21:$AD$36,2,FALSE)</f>
        <v>#N/A</v>
      </c>
      <c r="AD17" t="e">
        <f>VLOOKUP(AD19,$AC$21:$AD$36,2,FALSE)</f>
        <v>#N/A</v>
      </c>
      <c r="AF17" s="40"/>
      <c r="AG17" s="41"/>
      <c r="AH17" s="50">
        <v>9</v>
      </c>
      <c r="AI17" t="e">
        <f>VLOOKUP(AI19,$AI$21:$AJ$36,2,FALSE)</f>
        <v>#N/A</v>
      </c>
      <c r="AJ17" t="e">
        <f>VLOOKUP(AJ19,$AI$21:$AJ$36,2,FALSE)</f>
        <v>#N/A</v>
      </c>
      <c r="AL17" s="40"/>
      <c r="AM17" s="41"/>
      <c r="AN17" s="50" t="s">
        <v>15</v>
      </c>
      <c r="AO17" t="e">
        <f>HEX2DEC(F44)</f>
        <v>#N/A</v>
      </c>
      <c r="AP17" t="e">
        <f>HEX2DEC(H44)</f>
        <v>#N/A</v>
      </c>
      <c r="AQ17" s="51"/>
      <c r="AR17" s="40"/>
      <c r="AS17" s="41"/>
      <c r="AV17">
        <v>2</v>
      </c>
      <c r="AW17" t="e">
        <f>IF($H$43="1",D23,IF($H$43="2",I23,IF($H$43="4",Q23,IF(OR($H$43="5",$H$43="6" ),U23,IF($H$43="7",Y23,IF($H$43="8",AE23,IF($H$43="9",AK23,IF($H$43="A",AQ23,COMPUTER!C10))))))))</f>
        <v>#N/A</v>
      </c>
      <c r="AX17">
        <v>2</v>
      </c>
      <c r="AY17" t="e">
        <f>IF($H$43="3",M23,COMPUTER!P10)</f>
        <v>#N/A</v>
      </c>
      <c r="BA17">
        <v>2</v>
      </c>
      <c r="BB17" t="e">
        <f>IF(IF($B$43="Execute",AW17,COMPUTER!C10)=0,"",IF($B$43="Execute",AW17,COMPUTER!C10))</f>
        <v>#N/A</v>
      </c>
      <c r="BC17">
        <v>2</v>
      </c>
      <c r="BD17" t="e">
        <f>IF(IF($B$43="Execute",M23,COMPUTER!P10)=0,"",IF(AND($H$43="3",$B$43="Execute"),M23,COMPUTER!P10))</f>
        <v>#N/A</v>
      </c>
      <c r="BK17" s="15">
        <v>2</v>
      </c>
      <c r="BL17" s="77" t="s">
        <v>114</v>
      </c>
      <c r="BM17">
        <f>BM15+3</f>
        <v>4</v>
      </c>
    </row>
    <row r="18" spans="1:65">
      <c r="A18" s="42"/>
      <c r="B18" s="40"/>
      <c r="C18" s="40"/>
      <c r="D18" s="40"/>
      <c r="E18" s="41"/>
      <c r="F18" s="42"/>
      <c r="G18" s="40"/>
      <c r="H18" s="40"/>
      <c r="I18" s="40"/>
      <c r="J18" s="50"/>
      <c r="K18" s="51"/>
      <c r="L18" s="51"/>
      <c r="M18" s="52"/>
      <c r="N18" s="42"/>
      <c r="O18" s="40"/>
      <c r="P18" s="40"/>
      <c r="Q18" s="41"/>
      <c r="R18" s="42"/>
      <c r="S18" s="40" t="e">
        <f>VLOOKUP(S17,$S$21:$T$36,2,FALSE)</f>
        <v>#N/A</v>
      </c>
      <c r="T18" s="40" t="e">
        <f>VLOOKUP(T17,$S$21:$T$36,2,FALSE)</f>
        <v>#N/A</v>
      </c>
      <c r="U18" s="40"/>
      <c r="V18" s="42"/>
      <c r="W18" s="40" t="e">
        <f>DEC2BIN(W17)</f>
        <v>#N/A</v>
      </c>
      <c r="X18" s="40" t="e">
        <f>DEC2BIN(X17)</f>
        <v>#N/A</v>
      </c>
      <c r="Y18" s="40"/>
      <c r="Z18" s="40"/>
      <c r="AA18" s="41"/>
      <c r="AB18" s="42"/>
      <c r="AC18" s="40" t="e">
        <f>DEC2BIN(AC17)</f>
        <v>#N/A</v>
      </c>
      <c r="AD18" s="40" t="e">
        <f>DEC2BIN(AD17)</f>
        <v>#N/A</v>
      </c>
      <c r="AE18" s="40"/>
      <c r="AF18" s="40"/>
      <c r="AG18" s="41"/>
      <c r="AH18" s="42"/>
      <c r="AI18" s="40" t="e">
        <f>DEC2BIN(AI17)</f>
        <v>#N/A</v>
      </c>
      <c r="AJ18" s="40" t="e">
        <f>DEC2BIN(AJ17)</f>
        <v>#N/A</v>
      </c>
      <c r="AK18" s="40"/>
      <c r="AL18" s="40"/>
      <c r="AM18" s="41"/>
      <c r="AN18" s="42"/>
      <c r="AO18" s="51" t="e">
        <f>VLOOKUP(AO17,COMPUTER!$B$8:$C$23,2,FALSE)</f>
        <v>#N/A</v>
      </c>
      <c r="AP18" s="40"/>
      <c r="AQ18" s="40"/>
      <c r="AR18" s="40"/>
      <c r="AS18" s="41"/>
      <c r="AV18">
        <v>3</v>
      </c>
      <c r="AW18" t="e">
        <f>IF($H$43="1",D24,IF($H$43="2",I24,IF($H$43="4",Q24,IF(OR($H$43="5",$H$43="6" ),U24,IF($H$43="7",Y24,IF($H$43="8",AE24,IF($H$43="9",AK24,IF($H$43="A",AQ24,COMPUTER!C11))))))))</f>
        <v>#N/A</v>
      </c>
      <c r="AX18">
        <v>3</v>
      </c>
      <c r="AY18" t="e">
        <f>IF($H$43="3",M24,COMPUTER!P11)</f>
        <v>#N/A</v>
      </c>
      <c r="BA18">
        <v>3</v>
      </c>
      <c r="BB18" t="e">
        <f>IF(IF($B$43="Execute",AW18,COMPUTER!C11)=0,"",IF($B$43="Execute",AW18,COMPUTER!C11))</f>
        <v>#N/A</v>
      </c>
      <c r="BC18">
        <v>3</v>
      </c>
      <c r="BD18" t="e">
        <f>IF(IF($B$43="Execute",M24,COMPUTER!P11)=0,"",IF(AND($H$43="3",$B$43="Execute"),M24,COMPUTER!P11))</f>
        <v>#N/A</v>
      </c>
      <c r="BK18" s="15">
        <v>3</v>
      </c>
      <c r="BL18" s="77" t="s">
        <v>115</v>
      </c>
      <c r="BM18">
        <f>BM17</f>
        <v>4</v>
      </c>
    </row>
    <row r="19" spans="1:65">
      <c r="A19" s="42"/>
      <c r="B19" s="40"/>
      <c r="C19" s="40"/>
      <c r="D19" s="40"/>
      <c r="E19" s="41"/>
      <c r="F19" s="42"/>
      <c r="G19" s="40"/>
      <c r="H19" s="40"/>
      <c r="I19" s="40"/>
      <c r="J19" s="50"/>
      <c r="K19" s="51"/>
      <c r="L19" s="51"/>
      <c r="M19" s="52"/>
      <c r="N19" s="42"/>
      <c r="O19" s="40"/>
      <c r="P19" s="40"/>
      <c r="Q19" s="41"/>
      <c r="R19" s="42"/>
      <c r="S19" s="40"/>
      <c r="T19" s="40"/>
      <c r="U19" s="40"/>
      <c r="V19" s="42"/>
      <c r="W19" s="51" t="e">
        <f>HEX2DEC(G44)</f>
        <v>#N/A</v>
      </c>
      <c r="X19" s="51" t="e">
        <f>HEX2DEC(H44)</f>
        <v>#N/A</v>
      </c>
      <c r="Y19" s="51" t="e">
        <f>HEX2DEC(F44)</f>
        <v>#N/A</v>
      </c>
      <c r="Z19" s="40"/>
      <c r="AA19" s="41"/>
      <c r="AB19" s="42"/>
      <c r="AC19" s="51" t="e">
        <f>HEX2DEC(G44)</f>
        <v>#N/A</v>
      </c>
      <c r="AD19" s="51" t="e">
        <f>HEX2DEC(H44)</f>
        <v>#N/A</v>
      </c>
      <c r="AE19" s="51" t="e">
        <f>HEX2DEC(F44)</f>
        <v>#N/A</v>
      </c>
      <c r="AF19" s="40"/>
      <c r="AG19" s="41"/>
      <c r="AH19" s="42"/>
      <c r="AI19" s="51" t="e">
        <f>HEX2DEC(G44)</f>
        <v>#N/A</v>
      </c>
      <c r="AJ19" s="51" t="e">
        <f>HEX2DEC(H44)</f>
        <v>#N/A</v>
      </c>
      <c r="AK19" s="51" t="e">
        <f>HEX2DEC(F44)</f>
        <v>#N/A</v>
      </c>
      <c r="AL19" s="40"/>
      <c r="AM19" s="41"/>
      <c r="AN19" s="42"/>
      <c r="AO19" s="40" t="e">
        <f>IF(ISBLANK(AO18),0,DEC2BIN(AO18))</f>
        <v>#N/A</v>
      </c>
      <c r="AP19" s="40"/>
      <c r="AQ19" s="40"/>
      <c r="AR19" s="40"/>
      <c r="AS19" s="41"/>
      <c r="AV19">
        <v>4</v>
      </c>
      <c r="AW19" t="e">
        <f>IF($H$43="1",D25,IF($H$43="2",I25,IF($H$43="4",Q25,IF(OR($H$43="5",$H$43="6" ),U25,IF($H$43="7",Y25,IF($H$43="8",AE25,IF($H$43="9",AK25,IF($H$43="A",AQ25,COMPUTER!C12))))))))</f>
        <v>#N/A</v>
      </c>
      <c r="AX19">
        <v>4</v>
      </c>
      <c r="AY19" t="e">
        <f>IF($H$43="3",M25,COMPUTER!P12)</f>
        <v>#N/A</v>
      </c>
      <c r="BA19">
        <v>4</v>
      </c>
      <c r="BB19" t="e">
        <f>IF(IF($B$43="Execute",AW19,COMPUTER!C12)=0,"",IF($B$43="Execute",AW19,COMPUTER!C12))</f>
        <v>#N/A</v>
      </c>
      <c r="BC19">
        <v>4</v>
      </c>
      <c r="BD19" t="e">
        <f>IF(IF($B$43="Execute",M25,COMPUTER!P12)=0,"",IF(AND($H$43="3",$B$43="Execute"),M25,COMPUTER!P12))</f>
        <v>#N/A</v>
      </c>
      <c r="BK19" s="15">
        <v>4</v>
      </c>
      <c r="BL19" s="77" t="s">
        <v>116</v>
      </c>
      <c r="BM19">
        <f>BM17+3</f>
        <v>7</v>
      </c>
    </row>
    <row r="20" spans="1:65">
      <c r="A20" s="42" t="s">
        <v>35</v>
      </c>
      <c r="B20" s="40" t="s">
        <v>36</v>
      </c>
      <c r="C20" s="40" t="s">
        <v>38</v>
      </c>
      <c r="D20" s="40" t="s">
        <v>37</v>
      </c>
      <c r="E20" s="41"/>
      <c r="F20" s="42" t="s">
        <v>35</v>
      </c>
      <c r="G20" s="40" t="s">
        <v>36</v>
      </c>
      <c r="H20" s="40" t="s">
        <v>38</v>
      </c>
      <c r="I20" s="40" t="s">
        <v>37</v>
      </c>
      <c r="J20" s="50" t="s">
        <v>35</v>
      </c>
      <c r="K20" s="51" t="s">
        <v>48</v>
      </c>
      <c r="L20" s="51" t="s">
        <v>38</v>
      </c>
      <c r="M20" s="52" t="s">
        <v>37</v>
      </c>
      <c r="N20" s="42" t="s">
        <v>35</v>
      </c>
      <c r="O20" s="40" t="s">
        <v>36</v>
      </c>
      <c r="P20" s="40" t="s">
        <v>38</v>
      </c>
      <c r="Q20" s="41" t="s">
        <v>37</v>
      </c>
      <c r="R20" s="50" t="s">
        <v>35</v>
      </c>
      <c r="S20" s="40" t="s">
        <v>36</v>
      </c>
      <c r="T20" s="40" t="s">
        <v>38</v>
      </c>
      <c r="U20" s="40" t="s">
        <v>37</v>
      </c>
      <c r="V20" s="50" t="s">
        <v>35</v>
      </c>
      <c r="W20" s="40" t="s">
        <v>36</v>
      </c>
      <c r="X20" s="40" t="s">
        <v>38</v>
      </c>
      <c r="Y20" s="40" t="s">
        <v>37</v>
      </c>
      <c r="Z20" s="40"/>
      <c r="AA20" s="41"/>
      <c r="AB20" s="50" t="s">
        <v>35</v>
      </c>
      <c r="AC20" s="40" t="s">
        <v>36</v>
      </c>
      <c r="AD20" s="40" t="s">
        <v>38</v>
      </c>
      <c r="AE20" s="40" t="s">
        <v>37</v>
      </c>
      <c r="AF20" s="40"/>
      <c r="AG20" s="41"/>
      <c r="AH20" s="50" t="s">
        <v>35</v>
      </c>
      <c r="AI20" s="40" t="s">
        <v>36</v>
      </c>
      <c r="AJ20" s="40" t="s">
        <v>38</v>
      </c>
      <c r="AK20" s="40" t="s">
        <v>37</v>
      </c>
      <c r="AL20" s="40"/>
      <c r="AM20" s="41"/>
      <c r="AN20" s="50" t="s">
        <v>35</v>
      </c>
      <c r="AO20" s="40" t="s">
        <v>36</v>
      </c>
      <c r="AP20" s="40" t="s">
        <v>38</v>
      </c>
      <c r="AQ20" s="40" t="s">
        <v>37</v>
      </c>
      <c r="AR20" s="40"/>
      <c r="AS20" s="41"/>
      <c r="AV20">
        <v>5</v>
      </c>
      <c r="AW20" t="e">
        <f>IF($H$43="1",D26,IF($H$43="2",I26,IF($H$43="4",Q26,IF(OR($H$43="5",$H$43="6" ),U26,IF($H$43="7",Y26,IF($H$43="8",AE26,IF($H$43="9",AK26,IF($H$43="A",AQ26,COMPUTER!C13))))))))</f>
        <v>#N/A</v>
      </c>
      <c r="AX20">
        <v>5</v>
      </c>
      <c r="AY20" t="e">
        <f>IF($H$43="3",M26,COMPUTER!P13)</f>
        <v>#N/A</v>
      </c>
      <c r="BA20">
        <v>5</v>
      </c>
      <c r="BB20" t="e">
        <f>IF(IF($B$43="Execute",AW20,COMPUTER!C13)=0,"",IF($B$43="Execute",AW20,COMPUTER!C13))</f>
        <v>#N/A</v>
      </c>
      <c r="BC20">
        <v>5</v>
      </c>
      <c r="BD20" t="e">
        <f>IF(IF($B$43="Execute",M26,COMPUTER!P13)=0,"",IF(AND($H$43="3",$B$43="Execute"),M26,COMPUTER!P13))</f>
        <v>#N/A</v>
      </c>
      <c r="BK20" s="15">
        <v>5</v>
      </c>
      <c r="BL20" s="77" t="s">
        <v>117</v>
      </c>
      <c r="BM20">
        <f>BM19</f>
        <v>7</v>
      </c>
    </row>
    <row r="21" spans="1:65">
      <c r="A21" s="42">
        <v>1</v>
      </c>
      <c r="B21" s="40">
        <v>0</v>
      </c>
      <c r="C21" s="40">
        <f>COMPUTER!C8</f>
        <v>0</v>
      </c>
      <c r="D21" s="40" t="e">
        <f>IF(B21=$B$17,$D$17,C21)</f>
        <v>#N/A</v>
      </c>
      <c r="E21" s="41"/>
      <c r="F21" s="42">
        <v>2</v>
      </c>
      <c r="G21" s="40">
        <v>0</v>
      </c>
      <c r="H21" s="40">
        <f>COMPUTER!C8</f>
        <v>0</v>
      </c>
      <c r="I21" s="40" t="e">
        <f>IF(G21=$G$17,$H$17,H21)</f>
        <v>#N/A</v>
      </c>
      <c r="J21" s="50">
        <v>3</v>
      </c>
      <c r="K21" s="51">
        <v>0</v>
      </c>
      <c r="L21" s="51" t="str">
        <f>COMPUTER!P8</f>
        <v/>
      </c>
      <c r="M21" s="52" t="e">
        <f>IF(K21=$K$17,$M$17,L21)</f>
        <v>#N/A</v>
      </c>
      <c r="N21" s="42">
        <v>4</v>
      </c>
      <c r="O21" s="40">
        <v>0</v>
      </c>
      <c r="P21" s="40">
        <f>COMPUTER!C8</f>
        <v>0</v>
      </c>
      <c r="Q21" s="41" t="e">
        <f>IF(O21=$O$17,$Q$17,IF(O21=$P$17,0,P21))</f>
        <v>#N/A</v>
      </c>
      <c r="R21" s="42">
        <v>5</v>
      </c>
      <c r="S21" s="40">
        <v>0</v>
      </c>
      <c r="T21" s="40">
        <f>COMPUTER!C8</f>
        <v>0</v>
      </c>
      <c r="U21" s="40" t="e">
        <f>IF(S21=$U$17,$S$18+$T$18,T21)</f>
        <v>#N/A</v>
      </c>
      <c r="V21" s="42">
        <v>7</v>
      </c>
      <c r="W21" s="40">
        <v>0</v>
      </c>
      <c r="X21" s="40">
        <f>COMPUTER!C8</f>
        <v>0</v>
      </c>
      <c r="Y21" s="40" t="e">
        <f t="shared" ref="Y21:Y36" si="0">IF(W21=$Y$19,$AA$49,X21)</f>
        <v>#N/A</v>
      </c>
      <c r="Z21" s="40"/>
      <c r="AA21" s="41"/>
      <c r="AB21" s="42">
        <v>8</v>
      </c>
      <c r="AC21" s="40">
        <v>0</v>
      </c>
      <c r="AD21" s="40">
        <f>COMPUTER!C8</f>
        <v>0</v>
      </c>
      <c r="AE21" s="40" t="e">
        <f t="shared" ref="AE21:AE36" si="1">IF(AC21=$AE$19,$AG$49,AD21)</f>
        <v>#N/A</v>
      </c>
      <c r="AF21" s="40"/>
      <c r="AG21" s="41"/>
      <c r="AH21" s="42">
        <v>9</v>
      </c>
      <c r="AI21" s="40">
        <v>0</v>
      </c>
      <c r="AJ21" s="40">
        <f>COMPUTER!C8</f>
        <v>0</v>
      </c>
      <c r="AK21" s="40" t="e">
        <f t="shared" ref="AK21:AK36" si="2">IF(AI21=$AK$19,$AM$49,AJ21)</f>
        <v>#N/A</v>
      </c>
      <c r="AL21" s="40"/>
      <c r="AM21" s="41"/>
      <c r="AN21" s="42" t="s">
        <v>15</v>
      </c>
      <c r="AO21" s="40">
        <v>0</v>
      </c>
      <c r="AP21" s="40">
        <f>COMPUTER!C8</f>
        <v>0</v>
      </c>
      <c r="AQ21" s="40" t="e">
        <f>IF(AO21=$AO$17,$AS$57,AP21)</f>
        <v>#N/A</v>
      </c>
      <c r="AR21" s="40"/>
      <c r="AS21" s="41"/>
      <c r="AV21">
        <v>6</v>
      </c>
      <c r="AW21" t="e">
        <f>IF($H$43="1",D27,IF($H$43="2",I27,IF($H$43="4",Q27,IF(OR($H$43="5",$H$43="6" ),U27,IF($H$43="7",Y27,IF($H$43="8",AE27,IF($H$43="9",AK27,IF($H$43="A",AQ27,COMPUTER!C14))))))))</f>
        <v>#N/A</v>
      </c>
      <c r="AX21">
        <v>6</v>
      </c>
      <c r="AY21" t="e">
        <f>IF($H$43="3",M27,COMPUTER!P14)</f>
        <v>#N/A</v>
      </c>
      <c r="BA21">
        <v>6</v>
      </c>
      <c r="BB21" t="e">
        <f>IF(IF($B$43="Execute",AW21,COMPUTER!C14)=0,"",IF($B$43="Execute",AW21,COMPUTER!C14))</f>
        <v>#N/A</v>
      </c>
      <c r="BC21">
        <v>6</v>
      </c>
      <c r="BD21" t="e">
        <f>IF(IF($B$43="Execute",M27,COMPUTER!P14)=0,"",IF(AND($H$43="3",$B$43="Execute"),M27,COMPUTER!P14))</f>
        <v>#N/A</v>
      </c>
      <c r="BK21" s="15">
        <v>6</v>
      </c>
      <c r="BL21" s="77" t="s">
        <v>118</v>
      </c>
      <c r="BM21">
        <f>BM19+3</f>
        <v>10</v>
      </c>
    </row>
    <row r="22" spans="1:65">
      <c r="A22" s="42"/>
      <c r="B22" s="40">
        <v>1</v>
      </c>
      <c r="C22" s="40">
        <f>COMPUTER!C9</f>
        <v>0</v>
      </c>
      <c r="D22" s="40" t="e">
        <f t="shared" ref="D22:D36" si="3">IF(B22=$B$17,$D$17,C22)</f>
        <v>#N/A</v>
      </c>
      <c r="E22" s="41"/>
      <c r="F22" s="42"/>
      <c r="G22" s="40">
        <v>1</v>
      </c>
      <c r="H22" s="40">
        <f>COMPUTER!C9</f>
        <v>0</v>
      </c>
      <c r="I22" s="40" t="e">
        <f t="shared" ref="I22:I36" si="4">IF(G22=$G$17,$H$17,H22)</f>
        <v>#N/A</v>
      </c>
      <c r="J22" s="50"/>
      <c r="K22" s="51">
        <v>1</v>
      </c>
      <c r="L22" s="51" t="str">
        <f>COMPUTER!P9</f>
        <v/>
      </c>
      <c r="M22" s="52" t="e">
        <f t="shared" ref="M22:M85" si="5">IF(K22=$K$17,$M$17,L22)</f>
        <v>#N/A</v>
      </c>
      <c r="N22" s="42"/>
      <c r="O22" s="40">
        <v>1</v>
      </c>
      <c r="P22" s="40">
        <f>COMPUTER!C9</f>
        <v>0</v>
      </c>
      <c r="Q22" s="41" t="e">
        <f t="shared" ref="Q22:Q36" si="6">IF(O22=$O$17,$Q$17,IF(O22=$P$17,0,P22))</f>
        <v>#N/A</v>
      </c>
      <c r="R22" s="42"/>
      <c r="S22" s="40">
        <v>1</v>
      </c>
      <c r="T22" s="40">
        <f>COMPUTER!C9</f>
        <v>0</v>
      </c>
      <c r="U22" s="40" t="e">
        <f t="shared" ref="U22:U36" si="7">IF(S22=$U$17,$S$18+$T$18,T22)</f>
        <v>#N/A</v>
      </c>
      <c r="V22" s="42"/>
      <c r="W22" s="40">
        <v>1</v>
      </c>
      <c r="X22" s="40">
        <f>COMPUTER!C9</f>
        <v>0</v>
      </c>
      <c r="Y22" s="40" t="e">
        <f t="shared" si="0"/>
        <v>#N/A</v>
      </c>
      <c r="Z22" s="40"/>
      <c r="AA22" s="41"/>
      <c r="AB22" s="42"/>
      <c r="AC22" s="40">
        <v>1</v>
      </c>
      <c r="AD22" s="40">
        <f>COMPUTER!C9</f>
        <v>0</v>
      </c>
      <c r="AE22" s="40" t="e">
        <f t="shared" si="1"/>
        <v>#N/A</v>
      </c>
      <c r="AF22" s="40"/>
      <c r="AG22" s="41"/>
      <c r="AH22" s="42"/>
      <c r="AI22" s="40">
        <v>1</v>
      </c>
      <c r="AJ22" s="40">
        <f>COMPUTER!C9</f>
        <v>0</v>
      </c>
      <c r="AK22" s="40" t="e">
        <f t="shared" si="2"/>
        <v>#N/A</v>
      </c>
      <c r="AL22" s="40"/>
      <c r="AM22" s="41"/>
      <c r="AN22" s="42"/>
      <c r="AO22" s="40">
        <v>1</v>
      </c>
      <c r="AP22" s="40">
        <f>COMPUTER!C9</f>
        <v>0</v>
      </c>
      <c r="AQ22" s="40" t="e">
        <f t="shared" ref="AQ22:AQ36" si="8">IF(AO22=$AO$17,$AS$57,AP22)</f>
        <v>#N/A</v>
      </c>
      <c r="AR22" s="40"/>
      <c r="AS22" s="41"/>
      <c r="AV22">
        <v>7</v>
      </c>
      <c r="AW22" t="e">
        <f>IF($H$43="1",D28,IF($H$43="2",I28,IF($H$43="4",Q28,IF(OR($H$43="5",$H$43="6" ),U28,IF($H$43="7",Y28,IF($H$43="8",AE28,IF($H$43="9",AK28,IF($H$43="A",AQ28,COMPUTER!C15))))))))</f>
        <v>#N/A</v>
      </c>
      <c r="AX22">
        <v>7</v>
      </c>
      <c r="AY22" t="e">
        <f>IF($H$43="3",M28,COMPUTER!P15)</f>
        <v>#N/A</v>
      </c>
      <c r="BA22">
        <v>7</v>
      </c>
      <c r="BB22" t="e">
        <f>IF(IF($B$43="Execute",AW22,COMPUTER!C15)=0,"",IF($B$43="Execute",AW22,COMPUTER!C15))</f>
        <v>#N/A</v>
      </c>
      <c r="BC22">
        <v>7</v>
      </c>
      <c r="BD22" t="e">
        <f>IF(IF($B$43="Execute",M28,COMPUTER!P15)=0,"",IF(AND($H$43="3",$B$43="Execute"),M28,COMPUTER!P15))</f>
        <v>#N/A</v>
      </c>
      <c r="BK22" s="15">
        <v>7</v>
      </c>
      <c r="BL22" s="77" t="s">
        <v>119</v>
      </c>
      <c r="BM22">
        <f>BM21</f>
        <v>10</v>
      </c>
    </row>
    <row r="23" spans="1:65">
      <c r="A23" s="42"/>
      <c r="B23" s="40">
        <v>2</v>
      </c>
      <c r="C23" s="40">
        <f>COMPUTER!C10</f>
        <v>0</v>
      </c>
      <c r="D23" s="40" t="e">
        <f t="shared" si="3"/>
        <v>#N/A</v>
      </c>
      <c r="E23" s="41"/>
      <c r="F23" s="42"/>
      <c r="G23" s="40">
        <v>2</v>
      </c>
      <c r="H23" s="40">
        <f>COMPUTER!C10</f>
        <v>0</v>
      </c>
      <c r="I23" s="40" t="e">
        <f t="shared" si="4"/>
        <v>#N/A</v>
      </c>
      <c r="J23" s="50"/>
      <c r="K23" s="51">
        <v>2</v>
      </c>
      <c r="L23" s="51" t="str">
        <f>COMPUTER!P10</f>
        <v/>
      </c>
      <c r="M23" s="52" t="e">
        <f t="shared" si="5"/>
        <v>#N/A</v>
      </c>
      <c r="N23" s="42"/>
      <c r="O23" s="40">
        <v>2</v>
      </c>
      <c r="P23" s="40">
        <f>COMPUTER!C10</f>
        <v>0</v>
      </c>
      <c r="Q23" s="41" t="e">
        <f t="shared" si="6"/>
        <v>#N/A</v>
      </c>
      <c r="R23" s="42"/>
      <c r="S23" s="40">
        <v>2</v>
      </c>
      <c r="T23" s="40">
        <f>COMPUTER!C10</f>
        <v>0</v>
      </c>
      <c r="U23" s="40" t="e">
        <f t="shared" si="7"/>
        <v>#N/A</v>
      </c>
      <c r="V23" s="42"/>
      <c r="W23" s="40">
        <v>2</v>
      </c>
      <c r="X23" s="40">
        <f>COMPUTER!C10</f>
        <v>0</v>
      </c>
      <c r="Y23" s="40" t="e">
        <f t="shared" si="0"/>
        <v>#N/A</v>
      </c>
      <c r="Z23" s="40"/>
      <c r="AA23" s="41"/>
      <c r="AB23" s="42"/>
      <c r="AC23" s="40">
        <v>2</v>
      </c>
      <c r="AD23" s="40">
        <f>COMPUTER!C10</f>
        <v>0</v>
      </c>
      <c r="AE23" s="40" t="e">
        <f t="shared" si="1"/>
        <v>#N/A</v>
      </c>
      <c r="AF23" s="40"/>
      <c r="AG23" s="41"/>
      <c r="AH23" s="42"/>
      <c r="AI23" s="40">
        <v>2</v>
      </c>
      <c r="AJ23" s="40">
        <f>COMPUTER!C10</f>
        <v>0</v>
      </c>
      <c r="AK23" s="40" t="e">
        <f t="shared" si="2"/>
        <v>#N/A</v>
      </c>
      <c r="AL23" s="40"/>
      <c r="AM23" s="41"/>
      <c r="AN23" s="42"/>
      <c r="AO23" s="40">
        <v>2</v>
      </c>
      <c r="AP23" s="40">
        <f>COMPUTER!C10</f>
        <v>0</v>
      </c>
      <c r="AQ23" s="40" t="e">
        <f t="shared" si="8"/>
        <v>#N/A</v>
      </c>
      <c r="AR23" s="40"/>
      <c r="AS23" s="41"/>
      <c r="AV23">
        <v>8</v>
      </c>
      <c r="AW23" t="e">
        <f>IF($H$43="1",D29,IF($H$43="2",I29,IF($H$43="4",Q29,IF(OR($H$43="5",$H$43="6" ),U29,IF($H$43="7",Y29,IF($H$43="8",AE29,IF($H$43="9",AK29,IF($H$43="A",AQ29,COMPUTER!C16))))))))</f>
        <v>#N/A</v>
      </c>
      <c r="AX23">
        <v>8</v>
      </c>
      <c r="AY23" t="e">
        <f>IF($H$43="3",M29,COMPUTER!P16)</f>
        <v>#N/A</v>
      </c>
      <c r="BA23">
        <v>8</v>
      </c>
      <c r="BB23" t="e">
        <f>IF(IF($B$43="Execute",AW23,COMPUTER!C16)=0,"",IF($B$43="Execute",AW23,COMPUTER!C16))</f>
        <v>#N/A</v>
      </c>
      <c r="BC23">
        <v>8</v>
      </c>
      <c r="BD23" t="e">
        <f>IF(IF($B$43="Execute",M29,COMPUTER!P16)=0,"",IF(AND($H$43="3",$B$43="Execute"),M29,COMPUTER!P16))</f>
        <v>#N/A</v>
      </c>
      <c r="BK23" s="15">
        <v>8</v>
      </c>
      <c r="BL23" s="77" t="s">
        <v>120</v>
      </c>
      <c r="BM23">
        <f>BM21+3</f>
        <v>13</v>
      </c>
    </row>
    <row r="24" spans="1:65">
      <c r="A24" s="42"/>
      <c r="B24" s="40">
        <v>3</v>
      </c>
      <c r="C24" s="40">
        <f>COMPUTER!C11</f>
        <v>0</v>
      </c>
      <c r="D24" s="40" t="e">
        <f t="shared" si="3"/>
        <v>#N/A</v>
      </c>
      <c r="E24" s="41"/>
      <c r="F24" s="42"/>
      <c r="G24" s="40">
        <v>3</v>
      </c>
      <c r="H24" s="40">
        <f>COMPUTER!C11</f>
        <v>0</v>
      </c>
      <c r="I24" s="40" t="e">
        <f t="shared" si="4"/>
        <v>#N/A</v>
      </c>
      <c r="J24" s="50"/>
      <c r="K24" s="51">
        <v>3</v>
      </c>
      <c r="L24" s="51" t="str">
        <f>COMPUTER!P11</f>
        <v/>
      </c>
      <c r="M24" s="52" t="e">
        <f t="shared" si="5"/>
        <v>#N/A</v>
      </c>
      <c r="N24" s="42"/>
      <c r="O24" s="40">
        <v>3</v>
      </c>
      <c r="P24" s="40">
        <f>COMPUTER!C11</f>
        <v>0</v>
      </c>
      <c r="Q24" s="41" t="e">
        <f t="shared" si="6"/>
        <v>#N/A</v>
      </c>
      <c r="R24" s="42"/>
      <c r="S24" s="40">
        <v>3</v>
      </c>
      <c r="T24" s="40">
        <f>COMPUTER!C11</f>
        <v>0</v>
      </c>
      <c r="U24" s="40" t="e">
        <f t="shared" si="7"/>
        <v>#N/A</v>
      </c>
      <c r="V24" s="42"/>
      <c r="W24" s="40">
        <v>3</v>
      </c>
      <c r="X24" s="40">
        <f>COMPUTER!C11</f>
        <v>0</v>
      </c>
      <c r="Y24" s="40" t="e">
        <f t="shared" si="0"/>
        <v>#N/A</v>
      </c>
      <c r="Z24" s="40"/>
      <c r="AA24" s="41"/>
      <c r="AB24" s="42"/>
      <c r="AC24" s="40">
        <v>3</v>
      </c>
      <c r="AD24" s="40">
        <f>COMPUTER!C11</f>
        <v>0</v>
      </c>
      <c r="AE24" s="40" t="e">
        <f t="shared" si="1"/>
        <v>#N/A</v>
      </c>
      <c r="AF24" s="40"/>
      <c r="AG24" s="41"/>
      <c r="AH24" s="42"/>
      <c r="AI24" s="40">
        <v>3</v>
      </c>
      <c r="AJ24" s="40">
        <f>COMPUTER!C11</f>
        <v>0</v>
      </c>
      <c r="AK24" s="40" t="e">
        <f t="shared" si="2"/>
        <v>#N/A</v>
      </c>
      <c r="AL24" s="40"/>
      <c r="AM24" s="41"/>
      <c r="AN24" s="42"/>
      <c r="AO24" s="40">
        <v>3</v>
      </c>
      <c r="AP24" s="40">
        <f>COMPUTER!C11</f>
        <v>0</v>
      </c>
      <c r="AQ24" s="40" t="e">
        <f t="shared" si="8"/>
        <v>#N/A</v>
      </c>
      <c r="AR24" s="40"/>
      <c r="AS24" s="41"/>
      <c r="AV24">
        <v>9</v>
      </c>
      <c r="AW24" t="e">
        <f>IF($H$43="1",D30,IF($H$43="2",I30,IF($H$43="4",Q30,IF(OR($H$43="5",$H$43="6" ),U30,IF($H$43="7",Y30,IF($H$43="8",AE30,IF($H$43="9",AK30,IF($H$43="A",AQ30,COMPUTER!C17))))))))</f>
        <v>#N/A</v>
      </c>
      <c r="AX24">
        <v>9</v>
      </c>
      <c r="AY24" t="e">
        <f>IF($H$43="3",M30,COMPUTER!P17)</f>
        <v>#N/A</v>
      </c>
      <c r="BA24">
        <v>9</v>
      </c>
      <c r="BB24" t="e">
        <f>IF(IF($B$43="Execute",AW24,COMPUTER!C17)=0,"",IF($B$43="Execute",AW24,COMPUTER!C17))</f>
        <v>#N/A</v>
      </c>
      <c r="BC24">
        <v>9</v>
      </c>
      <c r="BD24" t="e">
        <f>IF(IF($B$43="Execute",M30,COMPUTER!P17)=0,"",IF(AND($H$43="3",$B$43="Execute"),M30,COMPUTER!P17))</f>
        <v>#N/A</v>
      </c>
      <c r="BK24" s="15">
        <v>9</v>
      </c>
      <c r="BL24" s="77" t="s">
        <v>121</v>
      </c>
      <c r="BM24">
        <f>BM23</f>
        <v>13</v>
      </c>
    </row>
    <row r="25" spans="1:65">
      <c r="A25" s="42"/>
      <c r="B25" s="40">
        <v>4</v>
      </c>
      <c r="C25" s="40">
        <f>COMPUTER!C12</f>
        <v>0</v>
      </c>
      <c r="D25" s="40" t="e">
        <f t="shared" si="3"/>
        <v>#N/A</v>
      </c>
      <c r="E25" s="41"/>
      <c r="F25" s="42"/>
      <c r="G25" s="40">
        <v>4</v>
      </c>
      <c r="H25" s="40">
        <f>COMPUTER!C12</f>
        <v>0</v>
      </c>
      <c r="I25" s="40" t="e">
        <f t="shared" si="4"/>
        <v>#N/A</v>
      </c>
      <c r="J25" s="50"/>
      <c r="K25" s="51">
        <v>4</v>
      </c>
      <c r="L25" s="51" t="str">
        <f>COMPUTER!P12</f>
        <v/>
      </c>
      <c r="M25" s="52" t="e">
        <f t="shared" si="5"/>
        <v>#N/A</v>
      </c>
      <c r="N25" s="42"/>
      <c r="O25" s="40">
        <v>4</v>
      </c>
      <c r="P25" s="40">
        <f>COMPUTER!C12</f>
        <v>0</v>
      </c>
      <c r="Q25" s="41" t="e">
        <f t="shared" si="6"/>
        <v>#N/A</v>
      </c>
      <c r="R25" s="42"/>
      <c r="S25" s="40">
        <v>4</v>
      </c>
      <c r="T25" s="40">
        <f>COMPUTER!C12</f>
        <v>0</v>
      </c>
      <c r="U25" s="40" t="e">
        <f t="shared" si="7"/>
        <v>#N/A</v>
      </c>
      <c r="V25" s="42"/>
      <c r="W25" s="40">
        <v>4</v>
      </c>
      <c r="X25" s="40">
        <f>COMPUTER!C12</f>
        <v>0</v>
      </c>
      <c r="Y25" s="40" t="e">
        <f t="shared" si="0"/>
        <v>#N/A</v>
      </c>
      <c r="Z25" s="40"/>
      <c r="AA25" s="41"/>
      <c r="AB25" s="42"/>
      <c r="AC25" s="40">
        <v>4</v>
      </c>
      <c r="AD25" s="40">
        <f>COMPUTER!C12</f>
        <v>0</v>
      </c>
      <c r="AE25" s="40" t="e">
        <f t="shared" si="1"/>
        <v>#N/A</v>
      </c>
      <c r="AF25" s="40"/>
      <c r="AG25" s="41"/>
      <c r="AH25" s="42"/>
      <c r="AI25" s="40">
        <v>4</v>
      </c>
      <c r="AJ25" s="40">
        <f>COMPUTER!C12</f>
        <v>0</v>
      </c>
      <c r="AK25" s="40" t="e">
        <f t="shared" si="2"/>
        <v>#N/A</v>
      </c>
      <c r="AL25" s="40"/>
      <c r="AM25" s="41"/>
      <c r="AN25" s="42"/>
      <c r="AO25" s="40">
        <v>4</v>
      </c>
      <c r="AP25" s="40">
        <f>COMPUTER!C12</f>
        <v>0</v>
      </c>
      <c r="AQ25" s="40" t="e">
        <f t="shared" si="8"/>
        <v>#N/A</v>
      </c>
      <c r="AR25" s="40"/>
      <c r="AS25" s="41"/>
      <c r="AV25">
        <v>10</v>
      </c>
      <c r="AW25" t="e">
        <f>IF($H$43="1",D31,IF($H$43="2",I31,IF($H$43="4",Q31,IF(OR($H$43="5",$H$43="6" ),U31,IF($H$43="7",Y31,IF($H$43="8",AE31,IF($H$43="9",AK31,IF($H$43="A",AQ31,COMPUTER!C18))))))))</f>
        <v>#N/A</v>
      </c>
      <c r="AX25">
        <v>10</v>
      </c>
      <c r="AY25" t="e">
        <f>IF($H$43="3",M31,COMPUTER!P18)</f>
        <v>#N/A</v>
      </c>
      <c r="BA25">
        <v>10</v>
      </c>
      <c r="BB25" t="e">
        <f>IF(IF($B$43="Execute",AW25,COMPUTER!C18)=0,"",IF($B$43="Execute",AW25,COMPUTER!C18))</f>
        <v>#N/A</v>
      </c>
      <c r="BC25">
        <v>10</v>
      </c>
      <c r="BD25" t="e">
        <f>IF(IF($B$43="Execute",M31,COMPUTER!P18)=0,"",IF(AND($H$43="3",$B$43="Execute"),M31,COMPUTER!P18))</f>
        <v>#N/A</v>
      </c>
      <c r="BK25" s="15">
        <v>10</v>
      </c>
      <c r="BL25" s="15" t="s">
        <v>122</v>
      </c>
      <c r="BM25">
        <f>BM23+3</f>
        <v>16</v>
      </c>
    </row>
    <row r="26" spans="1:65">
      <c r="A26" s="42"/>
      <c r="B26" s="40">
        <v>5</v>
      </c>
      <c r="C26" s="40">
        <f>COMPUTER!C13</f>
        <v>0</v>
      </c>
      <c r="D26" s="40" t="e">
        <f t="shared" si="3"/>
        <v>#N/A</v>
      </c>
      <c r="E26" s="41"/>
      <c r="F26" s="42"/>
      <c r="G26" s="40">
        <v>5</v>
      </c>
      <c r="H26" s="40">
        <f>COMPUTER!C13</f>
        <v>0</v>
      </c>
      <c r="I26" s="40" t="e">
        <f t="shared" si="4"/>
        <v>#N/A</v>
      </c>
      <c r="J26" s="50"/>
      <c r="K26" s="51">
        <v>5</v>
      </c>
      <c r="L26" s="51" t="str">
        <f>COMPUTER!P13</f>
        <v/>
      </c>
      <c r="M26" s="52" t="e">
        <f t="shared" si="5"/>
        <v>#N/A</v>
      </c>
      <c r="N26" s="42"/>
      <c r="O26" s="40">
        <v>5</v>
      </c>
      <c r="P26" s="40">
        <f>COMPUTER!C13</f>
        <v>0</v>
      </c>
      <c r="Q26" s="41" t="e">
        <f t="shared" si="6"/>
        <v>#N/A</v>
      </c>
      <c r="R26" s="42"/>
      <c r="S26" s="40">
        <v>5</v>
      </c>
      <c r="T26" s="40">
        <f>COMPUTER!C13</f>
        <v>0</v>
      </c>
      <c r="U26" s="40" t="e">
        <f t="shared" si="7"/>
        <v>#N/A</v>
      </c>
      <c r="V26" s="42"/>
      <c r="W26" s="40">
        <v>5</v>
      </c>
      <c r="X26" s="40">
        <f>COMPUTER!C13</f>
        <v>0</v>
      </c>
      <c r="Y26" s="40" t="e">
        <f t="shared" si="0"/>
        <v>#N/A</v>
      </c>
      <c r="Z26" s="40"/>
      <c r="AA26" s="41"/>
      <c r="AB26" s="42"/>
      <c r="AC26" s="40">
        <v>5</v>
      </c>
      <c r="AD26" s="40">
        <f>COMPUTER!C13</f>
        <v>0</v>
      </c>
      <c r="AE26" s="40" t="e">
        <f t="shared" si="1"/>
        <v>#N/A</v>
      </c>
      <c r="AF26" s="40"/>
      <c r="AG26" s="41"/>
      <c r="AH26" s="42"/>
      <c r="AI26" s="40">
        <v>5</v>
      </c>
      <c r="AJ26" s="40">
        <f>COMPUTER!C13</f>
        <v>0</v>
      </c>
      <c r="AK26" s="40" t="e">
        <f t="shared" si="2"/>
        <v>#N/A</v>
      </c>
      <c r="AL26" s="40"/>
      <c r="AM26" s="41"/>
      <c r="AN26" s="42"/>
      <c r="AO26" s="40">
        <v>5</v>
      </c>
      <c r="AP26" s="40">
        <f>COMPUTER!C13</f>
        <v>0</v>
      </c>
      <c r="AQ26" s="40" t="e">
        <f t="shared" si="8"/>
        <v>#N/A</v>
      </c>
      <c r="AR26" s="40"/>
      <c r="AS26" s="41"/>
      <c r="AV26">
        <v>11</v>
      </c>
      <c r="AW26" t="e">
        <f>IF($H$43="1",D32,IF($H$43="2",I32,IF($H$43="4",Q32,IF(OR($H$43="5",$H$43="6" ),U32,IF($H$43="7",Y32,IF($H$43="8",AE32,IF($H$43="9",AK32,IF($H$43="A",AQ32,COMPUTER!C19))))))))</f>
        <v>#N/A</v>
      </c>
      <c r="AX26">
        <v>11</v>
      </c>
      <c r="AY26" t="e">
        <f>IF($H$43="3",M32,COMPUTER!P19)</f>
        <v>#N/A</v>
      </c>
      <c r="BA26">
        <v>11</v>
      </c>
      <c r="BB26" t="e">
        <f>IF(IF($B$43="Execute",AW26,COMPUTER!C19)=0,"",IF($B$43="Execute",AW26,COMPUTER!C19))</f>
        <v>#N/A</v>
      </c>
      <c r="BC26">
        <v>11</v>
      </c>
      <c r="BD26" t="e">
        <f>IF(IF($B$43="Execute",M32,COMPUTER!P19)=0,"",IF(AND($H$43="3",$B$43="Execute"),M32,COMPUTER!P19))</f>
        <v>#N/A</v>
      </c>
      <c r="BK26" s="15">
        <v>11</v>
      </c>
      <c r="BL26" s="15" t="s">
        <v>123</v>
      </c>
      <c r="BM26">
        <f>BM25</f>
        <v>16</v>
      </c>
    </row>
    <row r="27" spans="1:65">
      <c r="A27" s="42"/>
      <c r="B27" s="40">
        <v>6</v>
      </c>
      <c r="C27" s="40">
        <f>COMPUTER!C14</f>
        <v>0</v>
      </c>
      <c r="D27" s="40" t="e">
        <f t="shared" si="3"/>
        <v>#N/A</v>
      </c>
      <c r="E27" s="41"/>
      <c r="F27" s="42"/>
      <c r="G27" s="40">
        <v>6</v>
      </c>
      <c r="H27" s="40">
        <f>COMPUTER!C14</f>
        <v>0</v>
      </c>
      <c r="I27" s="40" t="e">
        <f t="shared" si="4"/>
        <v>#N/A</v>
      </c>
      <c r="J27" s="50"/>
      <c r="K27" s="51">
        <v>6</v>
      </c>
      <c r="L27" s="51" t="str">
        <f>COMPUTER!P14</f>
        <v/>
      </c>
      <c r="M27" s="52" t="e">
        <f t="shared" si="5"/>
        <v>#N/A</v>
      </c>
      <c r="N27" s="42"/>
      <c r="O27" s="40">
        <v>6</v>
      </c>
      <c r="P27" s="40">
        <f>COMPUTER!C14</f>
        <v>0</v>
      </c>
      <c r="Q27" s="41" t="e">
        <f t="shared" si="6"/>
        <v>#N/A</v>
      </c>
      <c r="R27" s="42"/>
      <c r="S27" s="40">
        <v>6</v>
      </c>
      <c r="T27" s="40">
        <f>COMPUTER!C14</f>
        <v>0</v>
      </c>
      <c r="U27" s="40" t="e">
        <f t="shared" si="7"/>
        <v>#N/A</v>
      </c>
      <c r="V27" s="42"/>
      <c r="W27" s="40">
        <v>6</v>
      </c>
      <c r="X27" s="40">
        <f>COMPUTER!C14</f>
        <v>0</v>
      </c>
      <c r="Y27" s="40" t="e">
        <f t="shared" si="0"/>
        <v>#N/A</v>
      </c>
      <c r="Z27" s="40"/>
      <c r="AA27" s="41"/>
      <c r="AB27" s="42"/>
      <c r="AC27" s="40">
        <v>6</v>
      </c>
      <c r="AD27" s="40">
        <f>COMPUTER!C14</f>
        <v>0</v>
      </c>
      <c r="AE27" s="40" t="e">
        <f t="shared" si="1"/>
        <v>#N/A</v>
      </c>
      <c r="AF27" s="40"/>
      <c r="AG27" s="41"/>
      <c r="AH27" s="42"/>
      <c r="AI27" s="40">
        <v>6</v>
      </c>
      <c r="AJ27" s="40">
        <f>COMPUTER!C14</f>
        <v>0</v>
      </c>
      <c r="AK27" s="40" t="e">
        <f t="shared" si="2"/>
        <v>#N/A</v>
      </c>
      <c r="AL27" s="40"/>
      <c r="AM27" s="41"/>
      <c r="AN27" s="42"/>
      <c r="AO27" s="40">
        <v>6</v>
      </c>
      <c r="AP27" s="40">
        <f>COMPUTER!C14</f>
        <v>0</v>
      </c>
      <c r="AQ27" s="40" t="e">
        <f t="shared" si="8"/>
        <v>#N/A</v>
      </c>
      <c r="AR27" s="40"/>
      <c r="AS27" s="41"/>
      <c r="AV27">
        <v>12</v>
      </c>
      <c r="AW27" t="e">
        <f>IF($H$43="1",D33,IF($H$43="2",I33,IF($H$43="4",Q33,IF(OR($H$43="5",$H$43="6" ),U33,IF($H$43="7",Y33,IF($H$43="8",AE33,IF($H$43="9",AK33,IF($H$43="A",AQ33,COMPUTER!C20))))))))</f>
        <v>#N/A</v>
      </c>
      <c r="AX27">
        <v>12</v>
      </c>
      <c r="AY27" t="e">
        <f>IF($H$43="3",M33,COMPUTER!P20)</f>
        <v>#N/A</v>
      </c>
      <c r="BA27">
        <v>12</v>
      </c>
      <c r="BB27" t="e">
        <f>IF(IF($B$43="Execute",AW27,COMPUTER!C20)=0,"",IF($B$43="Execute",AW27,COMPUTER!C20))</f>
        <v>#N/A</v>
      </c>
      <c r="BC27">
        <v>12</v>
      </c>
      <c r="BD27" t="e">
        <f>IF(IF($B$43="Execute",M33,COMPUTER!P20)=0,"",IF(AND($H$43="3",$B$43="Execute"),M33,COMPUTER!P20))</f>
        <v>#N/A</v>
      </c>
      <c r="BK27" s="15">
        <v>12</v>
      </c>
      <c r="BL27" s="15" t="s">
        <v>124</v>
      </c>
      <c r="BM27">
        <f>BM25+3</f>
        <v>19</v>
      </c>
    </row>
    <row r="28" spans="1:65">
      <c r="A28" s="42"/>
      <c r="B28" s="40">
        <v>7</v>
      </c>
      <c r="C28" s="40">
        <f>COMPUTER!C15</f>
        <v>0</v>
      </c>
      <c r="D28" s="40" t="e">
        <f t="shared" si="3"/>
        <v>#N/A</v>
      </c>
      <c r="E28" s="41"/>
      <c r="F28" s="42"/>
      <c r="G28" s="40">
        <v>7</v>
      </c>
      <c r="H28" s="40">
        <f>COMPUTER!C15</f>
        <v>0</v>
      </c>
      <c r="I28" s="40" t="e">
        <f t="shared" si="4"/>
        <v>#N/A</v>
      </c>
      <c r="J28" s="50"/>
      <c r="K28" s="51">
        <v>7</v>
      </c>
      <c r="L28" s="51" t="str">
        <f>COMPUTER!P15</f>
        <v/>
      </c>
      <c r="M28" s="52" t="e">
        <f t="shared" si="5"/>
        <v>#N/A</v>
      </c>
      <c r="N28" s="42"/>
      <c r="O28" s="40">
        <v>7</v>
      </c>
      <c r="P28" s="40">
        <f>COMPUTER!C15</f>
        <v>0</v>
      </c>
      <c r="Q28" s="41" t="e">
        <f t="shared" si="6"/>
        <v>#N/A</v>
      </c>
      <c r="R28" s="42"/>
      <c r="S28" s="40">
        <v>7</v>
      </c>
      <c r="T28" s="40">
        <f>COMPUTER!C15</f>
        <v>0</v>
      </c>
      <c r="U28" s="40" t="e">
        <f t="shared" si="7"/>
        <v>#N/A</v>
      </c>
      <c r="V28" s="42"/>
      <c r="W28" s="40">
        <v>7</v>
      </c>
      <c r="X28" s="40">
        <f>COMPUTER!C15</f>
        <v>0</v>
      </c>
      <c r="Y28" s="40" t="e">
        <f t="shared" si="0"/>
        <v>#N/A</v>
      </c>
      <c r="Z28" s="40"/>
      <c r="AA28" s="41"/>
      <c r="AB28" s="42"/>
      <c r="AC28" s="40">
        <v>7</v>
      </c>
      <c r="AD28" s="40">
        <f>COMPUTER!C15</f>
        <v>0</v>
      </c>
      <c r="AE28" s="40" t="e">
        <f t="shared" si="1"/>
        <v>#N/A</v>
      </c>
      <c r="AF28" s="40"/>
      <c r="AG28" s="41"/>
      <c r="AH28" s="42"/>
      <c r="AI28" s="40">
        <v>7</v>
      </c>
      <c r="AJ28" s="40">
        <f>COMPUTER!C15</f>
        <v>0</v>
      </c>
      <c r="AK28" s="40" t="e">
        <f t="shared" si="2"/>
        <v>#N/A</v>
      </c>
      <c r="AL28" s="40"/>
      <c r="AM28" s="41"/>
      <c r="AN28" s="42"/>
      <c r="AO28" s="40">
        <v>7</v>
      </c>
      <c r="AP28" s="40">
        <f>COMPUTER!C15</f>
        <v>0</v>
      </c>
      <c r="AQ28" s="40" t="e">
        <f t="shared" si="8"/>
        <v>#N/A</v>
      </c>
      <c r="AR28" s="40"/>
      <c r="AS28" s="41"/>
      <c r="AV28">
        <v>13</v>
      </c>
      <c r="AW28" t="e">
        <f>IF($H$43="1",D34,IF($H$43="2",I34,IF($H$43="4",Q34,IF(OR($H$43="5",$H$43="6" ),U34,IF($H$43="7",Y34,IF($H$43="8",AE34,IF($H$43="9",AK34,IF($H$43="A",AQ34,COMPUTER!C21))))))))</f>
        <v>#N/A</v>
      </c>
      <c r="AX28">
        <v>13</v>
      </c>
      <c r="AY28" t="e">
        <f>IF($H$43="3",M34,COMPUTER!P21)</f>
        <v>#N/A</v>
      </c>
      <c r="BA28">
        <v>13</v>
      </c>
      <c r="BB28" t="e">
        <f>IF(IF($B$43="Execute",AW28,COMPUTER!C21)=0,"",IF($B$43="Execute",AW28,COMPUTER!C21))</f>
        <v>#N/A</v>
      </c>
      <c r="BC28">
        <v>13</v>
      </c>
      <c r="BD28" t="e">
        <f>IF(IF($B$43="Execute",M34,COMPUTER!P21)=0,"",IF(AND($H$43="3",$B$43="Execute"),M34,COMPUTER!P21))</f>
        <v>#N/A</v>
      </c>
      <c r="BK28" s="15">
        <v>13</v>
      </c>
      <c r="BL28" s="15" t="s">
        <v>125</v>
      </c>
      <c r="BM28">
        <f>BM27</f>
        <v>19</v>
      </c>
    </row>
    <row r="29" spans="1:65">
      <c r="A29" s="42"/>
      <c r="B29" s="40">
        <v>8</v>
      </c>
      <c r="C29" s="40">
        <f>COMPUTER!C16</f>
        <v>0</v>
      </c>
      <c r="D29" s="40" t="e">
        <f t="shared" si="3"/>
        <v>#N/A</v>
      </c>
      <c r="E29" s="41"/>
      <c r="F29" s="42"/>
      <c r="G29" s="40">
        <v>8</v>
      </c>
      <c r="H29" s="40">
        <f>COMPUTER!C16</f>
        <v>0</v>
      </c>
      <c r="I29" s="40" t="e">
        <f t="shared" si="4"/>
        <v>#N/A</v>
      </c>
      <c r="J29" s="50"/>
      <c r="K29" s="51">
        <v>8</v>
      </c>
      <c r="L29" s="51" t="str">
        <f>COMPUTER!P16</f>
        <v/>
      </c>
      <c r="M29" s="52" t="e">
        <f t="shared" si="5"/>
        <v>#N/A</v>
      </c>
      <c r="N29" s="42"/>
      <c r="O29" s="40">
        <v>8</v>
      </c>
      <c r="P29" s="40">
        <f>COMPUTER!C16</f>
        <v>0</v>
      </c>
      <c r="Q29" s="41" t="e">
        <f t="shared" si="6"/>
        <v>#N/A</v>
      </c>
      <c r="R29" s="42"/>
      <c r="S29" s="40">
        <v>8</v>
      </c>
      <c r="T29" s="40">
        <f>COMPUTER!C16</f>
        <v>0</v>
      </c>
      <c r="U29" s="40" t="e">
        <f t="shared" si="7"/>
        <v>#N/A</v>
      </c>
      <c r="V29" s="42"/>
      <c r="W29" s="40">
        <v>8</v>
      </c>
      <c r="X29" s="40">
        <f>COMPUTER!C16</f>
        <v>0</v>
      </c>
      <c r="Y29" s="40" t="e">
        <f t="shared" si="0"/>
        <v>#N/A</v>
      </c>
      <c r="Z29" s="40"/>
      <c r="AA29" s="41"/>
      <c r="AB29" s="42"/>
      <c r="AC29" s="40">
        <v>8</v>
      </c>
      <c r="AD29" s="40">
        <f>COMPUTER!C16</f>
        <v>0</v>
      </c>
      <c r="AE29" s="40" t="e">
        <f t="shared" si="1"/>
        <v>#N/A</v>
      </c>
      <c r="AF29" s="40"/>
      <c r="AG29" s="41"/>
      <c r="AH29" s="42"/>
      <c r="AI29" s="40">
        <v>8</v>
      </c>
      <c r="AJ29" s="40">
        <f>COMPUTER!C16</f>
        <v>0</v>
      </c>
      <c r="AK29" s="40" t="e">
        <f t="shared" si="2"/>
        <v>#N/A</v>
      </c>
      <c r="AL29" s="40"/>
      <c r="AM29" s="41"/>
      <c r="AN29" s="42"/>
      <c r="AO29" s="40">
        <v>8</v>
      </c>
      <c r="AP29" s="40">
        <f>COMPUTER!C16</f>
        <v>0</v>
      </c>
      <c r="AQ29" s="40" t="e">
        <f t="shared" si="8"/>
        <v>#N/A</v>
      </c>
      <c r="AR29" s="40"/>
      <c r="AS29" s="41"/>
      <c r="AV29">
        <v>14</v>
      </c>
      <c r="AW29" t="e">
        <f>IF($H$43="1",D35,IF($H$43="2",I35,IF($H$43="4",Q35,IF(OR($H$43="5",$H$43="6" ),U35,IF($H$43="7",Y35,IF($H$43="8",AE35,IF($H$43="9",AK35,IF($H$43="A",AQ35,COMPUTER!C22))))))))</f>
        <v>#N/A</v>
      </c>
      <c r="AX29">
        <v>14</v>
      </c>
      <c r="AY29" t="e">
        <f>IF($H$43="3",M35,COMPUTER!P22)</f>
        <v>#N/A</v>
      </c>
      <c r="BA29">
        <v>14</v>
      </c>
      <c r="BB29" t="e">
        <f>IF(IF($B$43="Execute",AW29,COMPUTER!C22)=0,"",IF($B$43="Execute",AW29,COMPUTER!C22))</f>
        <v>#N/A</v>
      </c>
      <c r="BC29">
        <v>14</v>
      </c>
      <c r="BD29" t="e">
        <f>IF(IF($B$43="Execute",M35,COMPUTER!P22)=0,"",IF(AND($H$43="3",$B$43="Execute"),M35,COMPUTER!P22))</f>
        <v>#N/A</v>
      </c>
      <c r="BK29" s="15">
        <v>14</v>
      </c>
      <c r="BL29" s="15" t="s">
        <v>126</v>
      </c>
      <c r="BM29">
        <f>BM27+3</f>
        <v>22</v>
      </c>
    </row>
    <row r="30" spans="1:65">
      <c r="A30" s="42"/>
      <c r="B30" s="40">
        <v>9</v>
      </c>
      <c r="C30" s="40">
        <f>COMPUTER!C17</f>
        <v>0</v>
      </c>
      <c r="D30" s="40" t="e">
        <f t="shared" si="3"/>
        <v>#N/A</v>
      </c>
      <c r="E30" s="41"/>
      <c r="F30" s="42"/>
      <c r="G30" s="40">
        <v>9</v>
      </c>
      <c r="H30" s="40">
        <f>COMPUTER!C17</f>
        <v>0</v>
      </c>
      <c r="I30" s="40" t="e">
        <f t="shared" si="4"/>
        <v>#N/A</v>
      </c>
      <c r="J30" s="50"/>
      <c r="K30" s="51">
        <v>9</v>
      </c>
      <c r="L30" s="51" t="str">
        <f>COMPUTER!P17</f>
        <v/>
      </c>
      <c r="M30" s="52" t="e">
        <f t="shared" si="5"/>
        <v>#N/A</v>
      </c>
      <c r="N30" s="42"/>
      <c r="O30" s="40">
        <v>9</v>
      </c>
      <c r="P30" s="40">
        <f>COMPUTER!C17</f>
        <v>0</v>
      </c>
      <c r="Q30" s="41" t="e">
        <f t="shared" si="6"/>
        <v>#N/A</v>
      </c>
      <c r="R30" s="42"/>
      <c r="S30" s="40">
        <v>9</v>
      </c>
      <c r="T30" s="40">
        <f>COMPUTER!C17</f>
        <v>0</v>
      </c>
      <c r="U30" s="40" t="e">
        <f t="shared" si="7"/>
        <v>#N/A</v>
      </c>
      <c r="V30" s="42"/>
      <c r="W30" s="40">
        <v>9</v>
      </c>
      <c r="X30" s="40">
        <f>COMPUTER!C17</f>
        <v>0</v>
      </c>
      <c r="Y30" s="40" t="e">
        <f t="shared" si="0"/>
        <v>#N/A</v>
      </c>
      <c r="Z30" s="40"/>
      <c r="AA30" s="41"/>
      <c r="AB30" s="42"/>
      <c r="AC30" s="40">
        <v>9</v>
      </c>
      <c r="AD30" s="40">
        <f>COMPUTER!C17</f>
        <v>0</v>
      </c>
      <c r="AE30" s="40" t="e">
        <f t="shared" si="1"/>
        <v>#N/A</v>
      </c>
      <c r="AF30" s="40"/>
      <c r="AG30" s="41"/>
      <c r="AH30" s="42"/>
      <c r="AI30" s="40">
        <v>9</v>
      </c>
      <c r="AJ30" s="40">
        <f>COMPUTER!C17</f>
        <v>0</v>
      </c>
      <c r="AK30" s="40" t="e">
        <f t="shared" si="2"/>
        <v>#N/A</v>
      </c>
      <c r="AL30" s="40"/>
      <c r="AM30" s="41"/>
      <c r="AN30" s="42"/>
      <c r="AO30" s="40">
        <v>9</v>
      </c>
      <c r="AP30" s="40">
        <f>COMPUTER!C17</f>
        <v>0</v>
      </c>
      <c r="AQ30" s="40" t="e">
        <f t="shared" si="8"/>
        <v>#N/A</v>
      </c>
      <c r="AR30" s="40"/>
      <c r="AS30" s="41"/>
      <c r="AV30">
        <v>15</v>
      </c>
      <c r="AW30" t="e">
        <f>IF($H$43="1",D36,IF($H$43="2",I36,IF($H$43="4",Q36,IF(OR($H$43="5",$H$43="6" ),U36,IF($H$43="7",Y36,IF($H$43="8",AE36,IF($H$43="9",AK36,IF($H$43="A",AQ36,COMPUTER!C23))))))))</f>
        <v>#N/A</v>
      </c>
      <c r="AX30">
        <v>15</v>
      </c>
      <c r="AY30" t="e">
        <f>IF($H$43="3",M36,COMPUTER!P23)</f>
        <v>#N/A</v>
      </c>
      <c r="BA30">
        <v>15</v>
      </c>
      <c r="BB30" t="e">
        <f>IF(IF($B$43="Execute",AW30,COMPUTER!C23)=0,"",IF($B$43="Execute",AW30,COMPUTER!C23))</f>
        <v>#N/A</v>
      </c>
      <c r="BC30">
        <v>15</v>
      </c>
      <c r="BD30" t="e">
        <f>IF(IF($B$43="Execute",M36,COMPUTER!P23)=0,"",IF(AND($H$43="3",$B$43="Execute"),M36,COMPUTER!P23))</f>
        <v>#N/A</v>
      </c>
      <c r="BK30" s="15">
        <v>15</v>
      </c>
      <c r="BL30" s="15" t="s">
        <v>127</v>
      </c>
      <c r="BM30">
        <f>BM29</f>
        <v>22</v>
      </c>
    </row>
    <row r="31" spans="1:65">
      <c r="A31" s="42"/>
      <c r="B31" s="40">
        <v>10</v>
      </c>
      <c r="C31" s="40">
        <f>COMPUTER!C18</f>
        <v>0</v>
      </c>
      <c r="D31" s="40" t="e">
        <f t="shared" si="3"/>
        <v>#N/A</v>
      </c>
      <c r="E31" s="41"/>
      <c r="F31" s="42"/>
      <c r="G31" s="40">
        <v>10</v>
      </c>
      <c r="H31" s="40">
        <f>COMPUTER!C18</f>
        <v>0</v>
      </c>
      <c r="I31" s="40" t="e">
        <f t="shared" si="4"/>
        <v>#N/A</v>
      </c>
      <c r="J31" s="50"/>
      <c r="K31" s="51">
        <v>10</v>
      </c>
      <c r="L31" s="51" t="str">
        <f>COMPUTER!P18</f>
        <v/>
      </c>
      <c r="M31" s="52" t="e">
        <f t="shared" si="5"/>
        <v>#N/A</v>
      </c>
      <c r="N31" s="42"/>
      <c r="O31" s="40">
        <v>10</v>
      </c>
      <c r="P31" s="40">
        <f>COMPUTER!C18</f>
        <v>0</v>
      </c>
      <c r="Q31" s="41" t="e">
        <f t="shared" si="6"/>
        <v>#N/A</v>
      </c>
      <c r="R31" s="42"/>
      <c r="S31" s="40">
        <v>10</v>
      </c>
      <c r="T31" s="40">
        <f>COMPUTER!C18</f>
        <v>0</v>
      </c>
      <c r="U31" s="40" t="e">
        <f t="shared" si="7"/>
        <v>#N/A</v>
      </c>
      <c r="V31" s="42"/>
      <c r="W31" s="40">
        <v>10</v>
      </c>
      <c r="X31" s="40">
        <f>COMPUTER!C18</f>
        <v>0</v>
      </c>
      <c r="Y31" s="40" t="e">
        <f t="shared" si="0"/>
        <v>#N/A</v>
      </c>
      <c r="Z31" s="40"/>
      <c r="AA31" s="41"/>
      <c r="AB31" s="42"/>
      <c r="AC31" s="40">
        <v>10</v>
      </c>
      <c r="AD31" s="40">
        <f>COMPUTER!C18</f>
        <v>0</v>
      </c>
      <c r="AE31" s="40" t="e">
        <f t="shared" si="1"/>
        <v>#N/A</v>
      </c>
      <c r="AF31" s="40"/>
      <c r="AG31" s="41"/>
      <c r="AH31" s="42"/>
      <c r="AI31" s="40">
        <v>10</v>
      </c>
      <c r="AJ31" s="40">
        <f>COMPUTER!C18</f>
        <v>0</v>
      </c>
      <c r="AK31" s="40" t="e">
        <f t="shared" si="2"/>
        <v>#N/A</v>
      </c>
      <c r="AL31" s="40"/>
      <c r="AM31" s="41"/>
      <c r="AN31" s="42"/>
      <c r="AO31" s="40">
        <v>10</v>
      </c>
      <c r="AP31" s="40">
        <f>COMPUTER!C18</f>
        <v>0</v>
      </c>
      <c r="AQ31" s="40" t="e">
        <f t="shared" si="8"/>
        <v>#N/A</v>
      </c>
      <c r="AR31" s="40"/>
      <c r="AS31" s="41"/>
      <c r="AX31">
        <v>16</v>
      </c>
      <c r="AY31" t="e">
        <f>IF($H$43="3",M37,COMPUTER!P24)</f>
        <v>#N/A</v>
      </c>
      <c r="BC31">
        <v>16</v>
      </c>
      <c r="BD31" t="e">
        <f>IF(IF($B$43="Execute",M37,COMPUTER!P24)=0,"",IF(AND($H$43="3",$B$43="Execute"),M37,COMPUTER!P24))</f>
        <v>#N/A</v>
      </c>
      <c r="BK31" s="15">
        <v>16</v>
      </c>
      <c r="BL31" s="15" t="str">
        <f t="shared" ref="BL31:BL54" si="9">DEC2HEX(BK31)</f>
        <v>10</v>
      </c>
      <c r="BM31">
        <f>BM29+3</f>
        <v>25</v>
      </c>
    </row>
    <row r="32" spans="1:65">
      <c r="A32" s="42"/>
      <c r="B32" s="40">
        <v>11</v>
      </c>
      <c r="C32" s="40">
        <f>COMPUTER!C19</f>
        <v>0</v>
      </c>
      <c r="D32" s="40" t="e">
        <f t="shared" si="3"/>
        <v>#N/A</v>
      </c>
      <c r="E32" s="41"/>
      <c r="F32" s="42"/>
      <c r="G32" s="40">
        <v>11</v>
      </c>
      <c r="H32" s="40">
        <f>COMPUTER!C19</f>
        <v>0</v>
      </c>
      <c r="I32" s="40" t="e">
        <f t="shared" si="4"/>
        <v>#N/A</v>
      </c>
      <c r="J32" s="50"/>
      <c r="K32" s="51">
        <v>11</v>
      </c>
      <c r="L32" s="51" t="str">
        <f>COMPUTER!P19</f>
        <v/>
      </c>
      <c r="M32" s="52" t="e">
        <f t="shared" si="5"/>
        <v>#N/A</v>
      </c>
      <c r="N32" s="42"/>
      <c r="O32" s="40">
        <v>11</v>
      </c>
      <c r="P32" s="40">
        <f>COMPUTER!C19</f>
        <v>0</v>
      </c>
      <c r="Q32" s="41" t="e">
        <f t="shared" si="6"/>
        <v>#N/A</v>
      </c>
      <c r="R32" s="42"/>
      <c r="S32" s="40">
        <v>11</v>
      </c>
      <c r="T32" s="40">
        <f>COMPUTER!C19</f>
        <v>0</v>
      </c>
      <c r="U32" s="40" t="e">
        <f t="shared" si="7"/>
        <v>#N/A</v>
      </c>
      <c r="V32" s="42"/>
      <c r="W32" s="40">
        <v>11</v>
      </c>
      <c r="X32" s="40">
        <f>COMPUTER!C19</f>
        <v>0</v>
      </c>
      <c r="Y32" s="40" t="e">
        <f t="shared" si="0"/>
        <v>#N/A</v>
      </c>
      <c r="Z32" s="40"/>
      <c r="AA32" s="41"/>
      <c r="AB32" s="42"/>
      <c r="AC32" s="40">
        <v>11</v>
      </c>
      <c r="AD32" s="40">
        <f>COMPUTER!C19</f>
        <v>0</v>
      </c>
      <c r="AE32" s="40" t="e">
        <f t="shared" si="1"/>
        <v>#N/A</v>
      </c>
      <c r="AF32" s="40"/>
      <c r="AG32" s="41"/>
      <c r="AH32" s="42"/>
      <c r="AI32" s="40">
        <v>11</v>
      </c>
      <c r="AJ32" s="40">
        <f>COMPUTER!C19</f>
        <v>0</v>
      </c>
      <c r="AK32" s="40" t="e">
        <f t="shared" si="2"/>
        <v>#N/A</v>
      </c>
      <c r="AL32" s="40"/>
      <c r="AM32" s="41"/>
      <c r="AN32" s="42"/>
      <c r="AO32" s="40">
        <v>11</v>
      </c>
      <c r="AP32" s="40">
        <f>COMPUTER!C19</f>
        <v>0</v>
      </c>
      <c r="AQ32" s="40" t="e">
        <f t="shared" si="8"/>
        <v>#N/A</v>
      </c>
      <c r="AR32" s="40"/>
      <c r="AS32" s="41"/>
      <c r="AX32">
        <v>17</v>
      </c>
      <c r="AY32" t="e">
        <f>IF($H$43="3",M38,COMPUTER!P25)</f>
        <v>#N/A</v>
      </c>
      <c r="BC32">
        <v>17</v>
      </c>
      <c r="BD32" t="e">
        <f>IF(IF($B$43="Execute",M38,COMPUTER!P25)=0,"",IF(AND($H$43="3",$B$43="Execute"),M38,COMPUTER!P25))</f>
        <v>#N/A</v>
      </c>
      <c r="BK32" s="15">
        <v>17</v>
      </c>
      <c r="BL32" s="15" t="str">
        <f t="shared" si="9"/>
        <v>11</v>
      </c>
      <c r="BM32">
        <f>BM31</f>
        <v>25</v>
      </c>
    </row>
    <row r="33" spans="1:65">
      <c r="A33" s="42"/>
      <c r="B33" s="40">
        <v>12</v>
      </c>
      <c r="C33" s="40">
        <f>COMPUTER!C20</f>
        <v>0</v>
      </c>
      <c r="D33" s="40" t="e">
        <f t="shared" si="3"/>
        <v>#N/A</v>
      </c>
      <c r="E33" s="41"/>
      <c r="F33" s="42"/>
      <c r="G33" s="40">
        <v>12</v>
      </c>
      <c r="H33" s="40">
        <f>COMPUTER!C20</f>
        <v>0</v>
      </c>
      <c r="I33" s="40" t="e">
        <f t="shared" si="4"/>
        <v>#N/A</v>
      </c>
      <c r="J33" s="50"/>
      <c r="K33" s="51">
        <v>12</v>
      </c>
      <c r="L33" s="51" t="str">
        <f>COMPUTER!P20</f>
        <v/>
      </c>
      <c r="M33" s="52" t="e">
        <f t="shared" si="5"/>
        <v>#N/A</v>
      </c>
      <c r="N33" s="42"/>
      <c r="O33" s="40">
        <v>12</v>
      </c>
      <c r="P33" s="40">
        <f>COMPUTER!C20</f>
        <v>0</v>
      </c>
      <c r="Q33" s="41" t="e">
        <f t="shared" si="6"/>
        <v>#N/A</v>
      </c>
      <c r="R33" s="42"/>
      <c r="S33" s="40">
        <v>12</v>
      </c>
      <c r="T33" s="40">
        <f>COMPUTER!C20</f>
        <v>0</v>
      </c>
      <c r="U33" s="40" t="e">
        <f t="shared" si="7"/>
        <v>#N/A</v>
      </c>
      <c r="V33" s="42"/>
      <c r="W33" s="40">
        <v>12</v>
      </c>
      <c r="X33" s="40">
        <f>COMPUTER!C20</f>
        <v>0</v>
      </c>
      <c r="Y33" s="40" t="e">
        <f t="shared" si="0"/>
        <v>#N/A</v>
      </c>
      <c r="Z33" s="40"/>
      <c r="AA33" s="41"/>
      <c r="AB33" s="42"/>
      <c r="AC33" s="40">
        <v>12</v>
      </c>
      <c r="AD33" s="40">
        <f>COMPUTER!C20</f>
        <v>0</v>
      </c>
      <c r="AE33" s="40" t="e">
        <f t="shared" si="1"/>
        <v>#N/A</v>
      </c>
      <c r="AF33" s="40"/>
      <c r="AG33" s="41"/>
      <c r="AH33" s="42"/>
      <c r="AI33" s="40">
        <v>12</v>
      </c>
      <c r="AJ33" s="40">
        <f>COMPUTER!C20</f>
        <v>0</v>
      </c>
      <c r="AK33" s="40" t="e">
        <f t="shared" si="2"/>
        <v>#N/A</v>
      </c>
      <c r="AL33" s="40"/>
      <c r="AM33" s="41"/>
      <c r="AN33" s="42"/>
      <c r="AO33" s="40">
        <v>12</v>
      </c>
      <c r="AP33" s="40">
        <f>COMPUTER!C20</f>
        <v>0</v>
      </c>
      <c r="AQ33" s="40" t="e">
        <f t="shared" si="8"/>
        <v>#N/A</v>
      </c>
      <c r="AR33" s="40"/>
      <c r="AS33" s="41"/>
      <c r="AX33">
        <v>18</v>
      </c>
      <c r="AY33" t="e">
        <f>IF($H$43="3",M39,COMPUTER!P26)</f>
        <v>#N/A</v>
      </c>
      <c r="BC33">
        <v>18</v>
      </c>
      <c r="BD33" t="e">
        <f>IF(IF($B$43="Execute",M39,COMPUTER!P26)=0,"",IF(AND($H$43="3",$B$43="Execute"),M39,COMPUTER!P26))</f>
        <v>#N/A</v>
      </c>
      <c r="BK33" s="15">
        <v>18</v>
      </c>
      <c r="BL33" s="15" t="str">
        <f t="shared" si="9"/>
        <v>12</v>
      </c>
      <c r="BM33">
        <f>BM31+3</f>
        <v>28</v>
      </c>
    </row>
    <row r="34" spans="1:65">
      <c r="A34" s="42"/>
      <c r="B34" s="40">
        <v>13</v>
      </c>
      <c r="C34" s="40">
        <f>COMPUTER!C21</f>
        <v>0</v>
      </c>
      <c r="D34" s="40" t="e">
        <f t="shared" si="3"/>
        <v>#N/A</v>
      </c>
      <c r="E34" s="41"/>
      <c r="F34" s="42"/>
      <c r="G34" s="40">
        <v>13</v>
      </c>
      <c r="H34" s="40">
        <f>COMPUTER!C21</f>
        <v>0</v>
      </c>
      <c r="I34" s="40" t="e">
        <f t="shared" si="4"/>
        <v>#N/A</v>
      </c>
      <c r="J34" s="50"/>
      <c r="K34" s="51">
        <v>13</v>
      </c>
      <c r="L34" s="51" t="str">
        <f>COMPUTER!P21</f>
        <v/>
      </c>
      <c r="M34" s="52" t="e">
        <f t="shared" si="5"/>
        <v>#N/A</v>
      </c>
      <c r="N34" s="42"/>
      <c r="O34" s="40">
        <v>13</v>
      </c>
      <c r="P34" s="40">
        <f>COMPUTER!C21</f>
        <v>0</v>
      </c>
      <c r="Q34" s="41" t="e">
        <f t="shared" si="6"/>
        <v>#N/A</v>
      </c>
      <c r="R34" s="42"/>
      <c r="S34" s="40">
        <v>13</v>
      </c>
      <c r="T34" s="40">
        <f>COMPUTER!C21</f>
        <v>0</v>
      </c>
      <c r="U34" s="40" t="e">
        <f t="shared" si="7"/>
        <v>#N/A</v>
      </c>
      <c r="V34" s="42"/>
      <c r="W34" s="40">
        <v>13</v>
      </c>
      <c r="X34" s="40">
        <f>COMPUTER!C21</f>
        <v>0</v>
      </c>
      <c r="Y34" s="40" t="e">
        <f t="shared" si="0"/>
        <v>#N/A</v>
      </c>
      <c r="Z34" s="40"/>
      <c r="AA34" s="41"/>
      <c r="AB34" s="42"/>
      <c r="AC34" s="40">
        <v>13</v>
      </c>
      <c r="AD34" s="40">
        <f>COMPUTER!C21</f>
        <v>0</v>
      </c>
      <c r="AE34" s="40" t="e">
        <f t="shared" si="1"/>
        <v>#N/A</v>
      </c>
      <c r="AF34" s="40"/>
      <c r="AG34" s="41"/>
      <c r="AH34" s="42"/>
      <c r="AI34" s="40">
        <v>13</v>
      </c>
      <c r="AJ34" s="40">
        <f>COMPUTER!C21</f>
        <v>0</v>
      </c>
      <c r="AK34" s="40" t="e">
        <f t="shared" si="2"/>
        <v>#N/A</v>
      </c>
      <c r="AL34" s="40"/>
      <c r="AM34" s="41"/>
      <c r="AN34" s="42"/>
      <c r="AO34" s="40">
        <v>13</v>
      </c>
      <c r="AP34" s="40">
        <f>COMPUTER!C21</f>
        <v>0</v>
      </c>
      <c r="AQ34" s="40" t="e">
        <f t="shared" si="8"/>
        <v>#N/A</v>
      </c>
      <c r="AR34" s="40"/>
      <c r="AS34" s="41"/>
      <c r="AX34">
        <v>19</v>
      </c>
      <c r="AY34" t="e">
        <f>IF($H$43="3",M40,COMPUTER!P27)</f>
        <v>#N/A</v>
      </c>
      <c r="BC34">
        <v>19</v>
      </c>
      <c r="BD34" t="e">
        <f>IF(IF($B$43="Execute",M40,COMPUTER!P27)=0,"",IF(AND($H$43="3",$B$43="Execute"),M40,COMPUTER!P27))</f>
        <v>#N/A</v>
      </c>
      <c r="BK34" s="15">
        <v>19</v>
      </c>
      <c r="BL34" s="15" t="str">
        <f t="shared" si="9"/>
        <v>13</v>
      </c>
      <c r="BM34">
        <f>BM33</f>
        <v>28</v>
      </c>
    </row>
    <row r="35" spans="1:65">
      <c r="A35" s="42"/>
      <c r="B35" s="40">
        <v>14</v>
      </c>
      <c r="C35" s="40">
        <f>COMPUTER!C22</f>
        <v>0</v>
      </c>
      <c r="D35" s="40" t="e">
        <f t="shared" si="3"/>
        <v>#N/A</v>
      </c>
      <c r="E35" s="41"/>
      <c r="F35" s="42"/>
      <c r="G35" s="40">
        <v>14</v>
      </c>
      <c r="H35" s="40">
        <f>COMPUTER!C22</f>
        <v>0</v>
      </c>
      <c r="I35" s="40" t="e">
        <f t="shared" si="4"/>
        <v>#N/A</v>
      </c>
      <c r="J35" s="50"/>
      <c r="K35" s="51">
        <v>14</v>
      </c>
      <c r="L35" s="51" t="str">
        <f>COMPUTER!P22</f>
        <v/>
      </c>
      <c r="M35" s="52" t="e">
        <f t="shared" si="5"/>
        <v>#N/A</v>
      </c>
      <c r="N35" s="42"/>
      <c r="O35" s="40">
        <v>14</v>
      </c>
      <c r="P35" s="40">
        <f>COMPUTER!C22</f>
        <v>0</v>
      </c>
      <c r="Q35" s="41" t="e">
        <f t="shared" si="6"/>
        <v>#N/A</v>
      </c>
      <c r="R35" s="42"/>
      <c r="S35" s="40">
        <v>14</v>
      </c>
      <c r="T35" s="40">
        <f>COMPUTER!C22</f>
        <v>0</v>
      </c>
      <c r="U35" s="40" t="e">
        <f t="shared" si="7"/>
        <v>#N/A</v>
      </c>
      <c r="V35" s="42"/>
      <c r="W35" s="40">
        <v>14</v>
      </c>
      <c r="X35" s="40">
        <f>COMPUTER!C22</f>
        <v>0</v>
      </c>
      <c r="Y35" s="40" t="e">
        <f t="shared" si="0"/>
        <v>#N/A</v>
      </c>
      <c r="Z35" s="40"/>
      <c r="AA35" s="41"/>
      <c r="AB35" s="42"/>
      <c r="AC35" s="40">
        <v>14</v>
      </c>
      <c r="AD35" s="40">
        <f>COMPUTER!C22</f>
        <v>0</v>
      </c>
      <c r="AE35" s="40" t="e">
        <f t="shared" si="1"/>
        <v>#N/A</v>
      </c>
      <c r="AF35" s="40"/>
      <c r="AG35" s="41"/>
      <c r="AH35" s="42"/>
      <c r="AI35" s="40">
        <v>14</v>
      </c>
      <c r="AJ35" s="40">
        <f>COMPUTER!C22</f>
        <v>0</v>
      </c>
      <c r="AK35" s="40" t="e">
        <f t="shared" si="2"/>
        <v>#N/A</v>
      </c>
      <c r="AL35" s="40"/>
      <c r="AM35" s="41"/>
      <c r="AN35" s="42"/>
      <c r="AO35" s="40">
        <v>14</v>
      </c>
      <c r="AP35" s="40">
        <f>COMPUTER!C22</f>
        <v>0</v>
      </c>
      <c r="AQ35" s="40" t="e">
        <f t="shared" si="8"/>
        <v>#N/A</v>
      </c>
      <c r="AR35" s="40"/>
      <c r="AS35" s="41"/>
      <c r="AX35">
        <v>20</v>
      </c>
      <c r="AY35" t="e">
        <f>IF($H$43="3",M41,COMPUTER!P28)</f>
        <v>#N/A</v>
      </c>
      <c r="BC35">
        <v>20</v>
      </c>
      <c r="BD35" t="e">
        <f>IF(IF($B$43="Execute",M41,COMPUTER!P28)=0,"",IF(AND($H$43="3",$B$43="Execute"),M41,COMPUTER!P28))</f>
        <v>#N/A</v>
      </c>
      <c r="BK35" s="15">
        <v>20</v>
      </c>
      <c r="BL35" s="15" t="str">
        <f t="shared" si="9"/>
        <v>14</v>
      </c>
      <c r="BM35">
        <f>BM33+3</f>
        <v>31</v>
      </c>
    </row>
    <row r="36" spans="1:65" ht="13.5" thickBot="1">
      <c r="A36" s="43"/>
      <c r="B36" s="44">
        <v>15</v>
      </c>
      <c r="C36" s="44">
        <f>COMPUTER!C23</f>
        <v>0</v>
      </c>
      <c r="D36" s="40" t="e">
        <f t="shared" si="3"/>
        <v>#N/A</v>
      </c>
      <c r="E36" s="45"/>
      <c r="F36" s="43"/>
      <c r="G36" s="44">
        <v>15</v>
      </c>
      <c r="H36" s="44">
        <f>COMPUTER!C23</f>
        <v>0</v>
      </c>
      <c r="I36" s="40" t="e">
        <f t="shared" si="4"/>
        <v>#N/A</v>
      </c>
      <c r="J36" s="50"/>
      <c r="K36" s="51">
        <v>15</v>
      </c>
      <c r="L36" s="51" t="str">
        <f>COMPUTER!P23</f>
        <v/>
      </c>
      <c r="M36" s="52" t="e">
        <f t="shared" si="5"/>
        <v>#N/A</v>
      </c>
      <c r="N36" s="43"/>
      <c r="O36" s="44">
        <v>15</v>
      </c>
      <c r="P36" s="44">
        <f>COMPUTER!C23</f>
        <v>0</v>
      </c>
      <c r="Q36" s="41" t="e">
        <f t="shared" si="6"/>
        <v>#N/A</v>
      </c>
      <c r="R36" s="43"/>
      <c r="S36" s="44">
        <v>15</v>
      </c>
      <c r="T36" s="44">
        <f>COMPUTER!C23</f>
        <v>0</v>
      </c>
      <c r="U36" s="40" t="e">
        <f t="shared" si="7"/>
        <v>#N/A</v>
      </c>
      <c r="V36" s="42"/>
      <c r="W36" s="40">
        <v>15</v>
      </c>
      <c r="X36" s="40">
        <f>COMPUTER!C23</f>
        <v>0</v>
      </c>
      <c r="Y36" s="40" t="e">
        <f t="shared" si="0"/>
        <v>#N/A</v>
      </c>
      <c r="Z36" s="40"/>
      <c r="AA36" s="41"/>
      <c r="AB36" s="42"/>
      <c r="AC36" s="40">
        <v>15</v>
      </c>
      <c r="AD36" s="40">
        <f>COMPUTER!C23</f>
        <v>0</v>
      </c>
      <c r="AE36" s="40" t="e">
        <f t="shared" si="1"/>
        <v>#N/A</v>
      </c>
      <c r="AF36" s="40"/>
      <c r="AG36" s="41"/>
      <c r="AH36" s="42"/>
      <c r="AI36" s="40">
        <v>15</v>
      </c>
      <c r="AJ36" s="40">
        <f>COMPUTER!C23</f>
        <v>0</v>
      </c>
      <c r="AK36" s="40" t="e">
        <f t="shared" si="2"/>
        <v>#N/A</v>
      </c>
      <c r="AL36" s="40"/>
      <c r="AM36" s="41"/>
      <c r="AN36" s="42"/>
      <c r="AO36" s="40">
        <v>15</v>
      </c>
      <c r="AP36" s="40">
        <f>COMPUTER!C23</f>
        <v>0</v>
      </c>
      <c r="AQ36" s="40" t="e">
        <f t="shared" si="8"/>
        <v>#N/A</v>
      </c>
      <c r="AR36" s="40"/>
      <c r="AS36" s="41"/>
      <c r="AX36">
        <v>21</v>
      </c>
      <c r="AY36" t="e">
        <f>IF($H$43="3",M42,COMPUTER!P29)</f>
        <v>#N/A</v>
      </c>
      <c r="BC36">
        <v>21</v>
      </c>
      <c r="BD36" t="e">
        <f>IF(IF($B$43="Execute",M42,COMPUTER!P29)=0,"",IF(AND($H$43="3",$B$43="Execute"),M42,COMPUTER!P29))</f>
        <v>#N/A</v>
      </c>
      <c r="BK36" s="15">
        <v>21</v>
      </c>
      <c r="BL36" s="15" t="str">
        <f t="shared" si="9"/>
        <v>15</v>
      </c>
      <c r="BM36">
        <f>BM35</f>
        <v>31</v>
      </c>
    </row>
    <row r="37" spans="1:65">
      <c r="J37" s="50"/>
      <c r="K37" s="51">
        <v>16</v>
      </c>
      <c r="L37" s="51" t="str">
        <f>COMPUTER!P24</f>
        <v/>
      </c>
      <c r="M37" s="52" t="e">
        <f t="shared" si="5"/>
        <v>#N/A</v>
      </c>
      <c r="V37" s="42" t="s">
        <v>56</v>
      </c>
      <c r="W37" s="40"/>
      <c r="X37" s="40"/>
      <c r="Y37" s="40"/>
      <c r="Z37" s="40"/>
      <c r="AA37" s="41"/>
      <c r="AB37" s="42" t="s">
        <v>56</v>
      </c>
      <c r="AC37" s="40"/>
      <c r="AD37" s="40"/>
      <c r="AE37" s="40"/>
      <c r="AF37" s="40"/>
      <c r="AG37" s="41"/>
      <c r="AH37" s="42" t="s">
        <v>56</v>
      </c>
      <c r="AI37" s="40"/>
      <c r="AJ37" s="40"/>
      <c r="AK37" s="40"/>
      <c r="AL37" s="40"/>
      <c r="AM37" s="41"/>
      <c r="AN37" s="42" t="s">
        <v>56</v>
      </c>
      <c r="AO37" s="40"/>
      <c r="AP37" s="40"/>
      <c r="AQ37" s="40"/>
      <c r="AR37" s="40"/>
      <c r="AS37" s="41"/>
      <c r="AX37">
        <v>22</v>
      </c>
      <c r="AY37" t="e">
        <f>IF($H$43="3",M43,COMPUTER!P30)</f>
        <v>#N/A</v>
      </c>
      <c r="BC37">
        <v>22</v>
      </c>
      <c r="BD37" t="e">
        <f>IF(IF($B$43="Execute",M43,COMPUTER!P30)=0,"",IF(AND($H$43="3",$B$43="Execute"),M43,COMPUTER!P30))</f>
        <v>#N/A</v>
      </c>
      <c r="BK37" s="15">
        <v>22</v>
      </c>
      <c r="BL37" s="15" t="str">
        <f t="shared" si="9"/>
        <v>16</v>
      </c>
      <c r="BM37">
        <f>BM35+3</f>
        <v>34</v>
      </c>
    </row>
    <row r="38" spans="1:65">
      <c r="C38" t="s">
        <v>131</v>
      </c>
      <c r="E38" s="76" t="s">
        <v>109</v>
      </c>
      <c r="G38" s="76" t="s">
        <v>110</v>
      </c>
      <c r="J38" s="50"/>
      <c r="K38" s="51">
        <v>17</v>
      </c>
      <c r="L38" s="51" t="str">
        <f>COMPUTER!P25</f>
        <v/>
      </c>
      <c r="M38" s="52" t="e">
        <f t="shared" si="5"/>
        <v>#N/A</v>
      </c>
      <c r="V38" s="42"/>
      <c r="W38" s="40" t="s">
        <v>40</v>
      </c>
      <c r="X38" s="40" t="s">
        <v>41</v>
      </c>
      <c r="Y38" s="40"/>
      <c r="Z38" s="40"/>
      <c r="AA38" s="41"/>
      <c r="AB38" s="42"/>
      <c r="AC38" s="40" t="s">
        <v>40</v>
      </c>
      <c r="AD38" s="40" t="s">
        <v>41</v>
      </c>
      <c r="AE38" s="40"/>
      <c r="AF38" s="40"/>
      <c r="AG38" s="41"/>
      <c r="AH38" s="42"/>
      <c r="AI38" s="40" t="s">
        <v>40</v>
      </c>
      <c r="AJ38" s="40" t="s">
        <v>41</v>
      </c>
      <c r="AK38" s="40"/>
      <c r="AL38" s="40"/>
      <c r="AM38" s="41"/>
      <c r="AN38" s="42"/>
      <c r="AO38" s="40" t="s">
        <v>40</v>
      </c>
      <c r="AP38" s="40" t="s">
        <v>68</v>
      </c>
      <c r="AQ38" s="40"/>
      <c r="AR38" s="40"/>
      <c r="AS38" s="41"/>
      <c r="AX38">
        <v>23</v>
      </c>
      <c r="AY38" t="e">
        <f>IF($H$43="3",M44,COMPUTER!P31)</f>
        <v>#N/A</v>
      </c>
      <c r="BC38">
        <v>23</v>
      </c>
      <c r="BD38" t="e">
        <f>IF(IF($B$43="Execute",M44,COMPUTER!P31)=0,"",IF(AND($H$43="3",$B$43="Execute"),M44,COMPUTER!P31))</f>
        <v>#N/A</v>
      </c>
      <c r="BK38" s="15">
        <v>23</v>
      </c>
      <c r="BL38" s="15" t="str">
        <f t="shared" si="9"/>
        <v>17</v>
      </c>
      <c r="BM38">
        <f>BM37</f>
        <v>34</v>
      </c>
    </row>
    <row r="39" spans="1:65">
      <c r="A39">
        <v>1</v>
      </c>
      <c r="B39" t="s">
        <v>73</v>
      </c>
      <c r="C39">
        <v>0</v>
      </c>
      <c r="E39" s="76">
        <f>IF(ISERROR(IF(AND(H43="B",COMPUTER!H13="Decode",(VLOOKUP((Details!F44*1),COMPUTER!$B$8:$C$23,2,FALSE)*1)=COMPUTER!$C$8),1,0)),0,IF(AND(H43="B",COMPUTER!H13="Decode",(VLOOKUP((Details!F44*1),COMPUTER!$B$8:$C$23,2,FALSE)*1)=COMPUTER!$C$8),1,0))</f>
        <v>0</v>
      </c>
      <c r="F39" s="76" t="e">
        <f>G44&amp;H44</f>
        <v>#N/A</v>
      </c>
      <c r="G39" s="76" t="e">
        <f>VLOOKUP(F39,$BL$14:$BM$54,2,FALSE)</f>
        <v>#N/A</v>
      </c>
      <c r="J39" s="50"/>
      <c r="K39" s="51">
        <v>18</v>
      </c>
      <c r="L39" s="51" t="str">
        <f>COMPUTER!P26</f>
        <v/>
      </c>
      <c r="M39" s="52" t="e">
        <f t="shared" si="5"/>
        <v>#N/A</v>
      </c>
      <c r="V39" s="42" t="s">
        <v>57</v>
      </c>
      <c r="W39" s="40" t="e">
        <f>LEN(W18)</f>
        <v>#N/A</v>
      </c>
      <c r="X39" s="40" t="e">
        <f>LEN(X18)</f>
        <v>#N/A</v>
      </c>
      <c r="Y39" s="40" t="s">
        <v>58</v>
      </c>
      <c r="Z39" s="40" t="s">
        <v>59</v>
      </c>
      <c r="AA39" s="41" t="s">
        <v>60</v>
      </c>
      <c r="AB39" s="42" t="s">
        <v>57</v>
      </c>
      <c r="AC39" s="40" t="e">
        <f>LEN(AC18)</f>
        <v>#N/A</v>
      </c>
      <c r="AD39" s="40" t="e">
        <f>LEN(AD18)</f>
        <v>#N/A</v>
      </c>
      <c r="AE39" s="40" t="s">
        <v>62</v>
      </c>
      <c r="AF39" s="40" t="s">
        <v>59</v>
      </c>
      <c r="AG39" s="41" t="s">
        <v>60</v>
      </c>
      <c r="AH39" s="42" t="s">
        <v>57</v>
      </c>
      <c r="AI39" s="40" t="e">
        <f>LEN(AI18)</f>
        <v>#N/A</v>
      </c>
      <c r="AJ39" s="40" t="e">
        <f>LEN(AJ18)</f>
        <v>#N/A</v>
      </c>
      <c r="AK39" s="40" t="s">
        <v>65</v>
      </c>
      <c r="AL39" s="40" t="s">
        <v>59</v>
      </c>
      <c r="AM39" s="41" t="s">
        <v>60</v>
      </c>
      <c r="AN39" s="42" t="s">
        <v>57</v>
      </c>
      <c r="AO39" s="40" t="e">
        <f>LEN(AO19)</f>
        <v>#N/A</v>
      </c>
      <c r="AP39" s="40"/>
      <c r="AR39" s="40" t="s">
        <v>59</v>
      </c>
      <c r="AS39" s="41" t="s">
        <v>60</v>
      </c>
      <c r="AX39">
        <v>24</v>
      </c>
      <c r="AY39" t="e">
        <f>IF($H$43="3",M45,COMPUTER!P32)</f>
        <v>#N/A</v>
      </c>
      <c r="BC39">
        <v>24</v>
      </c>
      <c r="BD39" t="e">
        <f>IF(IF($B$43="Execute",M45,COMPUTER!P32)=0,"",IF(AND($H$43="3",$B$43="Execute"),M45,COMPUTER!P32))</f>
        <v>#N/A</v>
      </c>
      <c r="BK39" s="15">
        <v>24</v>
      </c>
      <c r="BL39" s="15" t="str">
        <f t="shared" si="9"/>
        <v>18</v>
      </c>
      <c r="BM39">
        <f>BM37+3</f>
        <v>37</v>
      </c>
    </row>
    <row r="40" spans="1:65">
      <c r="A40">
        <v>2</v>
      </c>
      <c r="B40" t="s">
        <v>74</v>
      </c>
      <c r="E40" s="76" t="s">
        <v>111</v>
      </c>
      <c r="F40" s="76"/>
      <c r="G40" s="76"/>
      <c r="J40" s="50"/>
      <c r="K40" s="51">
        <v>19</v>
      </c>
      <c r="L40" s="51" t="str">
        <f>COMPUTER!P27</f>
        <v/>
      </c>
      <c r="M40" s="52" t="e">
        <f t="shared" si="5"/>
        <v>#N/A</v>
      </c>
      <c r="V40" s="42">
        <v>8</v>
      </c>
      <c r="W40" s="40" t="e">
        <f t="shared" ref="W40:X47" si="10">IF($V40&gt;W$39,0,MID(W$18,W$39-$V40*1+1,1)*1)</f>
        <v>#N/A</v>
      </c>
      <c r="X40" s="40" t="e">
        <f t="shared" si="10"/>
        <v>#N/A</v>
      </c>
      <c r="Y40" s="40" t="e">
        <f>IF(OR(W40,X40),1,0)</f>
        <v>#N/A</v>
      </c>
      <c r="Z40" s="40">
        <f t="shared" ref="Z40:Z45" si="11">Z41*2</f>
        <v>128</v>
      </c>
      <c r="AA40" s="41" t="e">
        <f>Y40*Z40</f>
        <v>#N/A</v>
      </c>
      <c r="AB40" s="42">
        <v>8</v>
      </c>
      <c r="AC40" s="40" t="e">
        <f>IF($AB40&gt;AC$39,0,MID(AC$18,AC$39-$AB40*1+1,1)*1)</f>
        <v>#N/A</v>
      </c>
      <c r="AD40" s="40" t="e">
        <f>IF($AB40&gt;AD$39,0,MID(AD$18,AD$39-$AB40*1+1,1)*1)</f>
        <v>#N/A</v>
      </c>
      <c r="AE40" s="40" t="e">
        <f>IF(AND(AC40,AD40),1,0)</f>
        <v>#N/A</v>
      </c>
      <c r="AF40" s="40">
        <f t="shared" ref="AF40:AF45" si="12">AF41*2</f>
        <v>128</v>
      </c>
      <c r="AG40" s="41" t="e">
        <f>AE40*AF40</f>
        <v>#N/A</v>
      </c>
      <c r="AH40" s="42">
        <v>8</v>
      </c>
      <c r="AI40" s="40" t="e">
        <f>IF($AH40&gt;AI$39,0,MID(AI$18,AI$39-$AH40*1+1,1)*1)</f>
        <v>#N/A</v>
      </c>
      <c r="AJ40" s="40" t="e">
        <f>IF($AH40&gt;AJ$39,0,MID(AJ$18,AJ$39-$AH40*1+1,1)*1)</f>
        <v>#N/A</v>
      </c>
      <c r="AK40" s="40" t="e">
        <f>IF(AI40=AJ40,0,1)</f>
        <v>#N/A</v>
      </c>
      <c r="AL40" s="40">
        <f t="shared" ref="AL40:AL45" si="13">AL41*2</f>
        <v>128</v>
      </c>
      <c r="AM40" s="41" t="e">
        <f>AK40*AL40</f>
        <v>#N/A</v>
      </c>
      <c r="AN40" s="42">
        <v>8</v>
      </c>
      <c r="AO40">
        <v>0</v>
      </c>
      <c r="AX40">
        <v>25</v>
      </c>
      <c r="AY40" t="e">
        <f>IF($H$43="3",M46,COMPUTER!P33)</f>
        <v>#N/A</v>
      </c>
      <c r="BC40">
        <v>25</v>
      </c>
      <c r="BD40" t="e">
        <f>IF(IF($B$43="Execute",M46,COMPUTER!P33)=0,"",IF(AND($H$43="3",$B$43="Execute"),M46,COMPUTER!P33))</f>
        <v>#N/A</v>
      </c>
      <c r="BK40" s="15">
        <v>25</v>
      </c>
      <c r="BL40" s="15" t="str">
        <f t="shared" si="9"/>
        <v>19</v>
      </c>
      <c r="BM40">
        <f>BM39</f>
        <v>37</v>
      </c>
    </row>
    <row r="41" spans="1:65">
      <c r="A41">
        <v>3</v>
      </c>
      <c r="B41" t="s">
        <v>75</v>
      </c>
      <c r="J41" s="50"/>
      <c r="K41" s="51">
        <v>20</v>
      </c>
      <c r="L41" s="51" t="str">
        <f>COMPUTER!P28</f>
        <v/>
      </c>
      <c r="M41" s="52" t="e">
        <f t="shared" si="5"/>
        <v>#N/A</v>
      </c>
      <c r="V41" s="42">
        <v>7</v>
      </c>
      <c r="W41" s="40" t="e">
        <f t="shared" si="10"/>
        <v>#N/A</v>
      </c>
      <c r="X41" s="40" t="e">
        <f t="shared" si="10"/>
        <v>#N/A</v>
      </c>
      <c r="Y41" s="40" t="e">
        <f t="shared" ref="Y41:Y47" si="14">IF(OR(W41,X41),1,0)</f>
        <v>#N/A</v>
      </c>
      <c r="Z41" s="40">
        <f t="shared" si="11"/>
        <v>64</v>
      </c>
      <c r="AA41" s="41" t="e">
        <f t="shared" ref="AA41:AA47" si="15">Y41*Z41</f>
        <v>#N/A</v>
      </c>
      <c r="AB41" s="42">
        <v>7</v>
      </c>
      <c r="AC41" s="40" t="e">
        <f t="shared" ref="AC41:AD47" si="16">IF($AB41&gt;AC$39,0,MID(AC$18,AC$39-$AB41*1+1,1)*1)</f>
        <v>#N/A</v>
      </c>
      <c r="AD41" s="40" t="e">
        <f t="shared" si="16"/>
        <v>#N/A</v>
      </c>
      <c r="AE41" s="40" t="e">
        <f t="shared" ref="AE41:AE47" si="17">IF(AND(AC41,AD41),1,0)</f>
        <v>#N/A</v>
      </c>
      <c r="AF41" s="40">
        <f t="shared" si="12"/>
        <v>64</v>
      </c>
      <c r="AG41" s="41" t="e">
        <f t="shared" ref="AG41:AG47" si="18">AE41*AF41</f>
        <v>#N/A</v>
      </c>
      <c r="AH41" s="42">
        <v>7</v>
      </c>
      <c r="AI41" s="40" t="e">
        <f t="shared" ref="AI41:AJ47" si="19">IF($AH41&gt;AI$39,0,MID(AI$18,AI$39-$AH41*1+1,1)*1)</f>
        <v>#N/A</v>
      </c>
      <c r="AJ41" s="40" t="e">
        <f t="shared" si="19"/>
        <v>#N/A</v>
      </c>
      <c r="AK41" s="40" t="e">
        <f t="shared" ref="AK41:AK47" si="20">IF(AI41=AJ41,0,1)</f>
        <v>#N/A</v>
      </c>
      <c r="AL41" s="40">
        <f t="shared" si="13"/>
        <v>64</v>
      </c>
      <c r="AM41" s="41" t="e">
        <f t="shared" ref="AM41:AM47" si="21">AK41*AL41</f>
        <v>#N/A</v>
      </c>
      <c r="AN41" s="42">
        <v>7</v>
      </c>
      <c r="AO41">
        <v>0</v>
      </c>
      <c r="AX41">
        <v>26</v>
      </c>
      <c r="AY41" t="e">
        <f>IF($H$43="3",M47,COMPUTER!P34)</f>
        <v>#N/A</v>
      </c>
      <c r="BC41">
        <v>26</v>
      </c>
      <c r="BD41" t="e">
        <f>IF(IF($B$43="Execute",M47,COMPUTER!P34)=0,"",IF(AND($H$43="3",$B$43="Execute"),M47,COMPUTER!P34))</f>
        <v>#N/A</v>
      </c>
      <c r="BK41" s="15">
        <v>26</v>
      </c>
      <c r="BL41" s="15" t="str">
        <f t="shared" si="9"/>
        <v>1A</v>
      </c>
      <c r="BM41">
        <f>BM39+3</f>
        <v>40</v>
      </c>
    </row>
    <row r="42" spans="1:65">
      <c r="A42" t="s">
        <v>103</v>
      </c>
      <c r="H42" t="s">
        <v>106</v>
      </c>
      <c r="J42" s="50"/>
      <c r="K42" s="51">
        <v>21</v>
      </c>
      <c r="L42" s="51" t="str">
        <f>COMPUTER!P29</f>
        <v/>
      </c>
      <c r="M42" s="52" t="e">
        <f t="shared" si="5"/>
        <v>#N/A</v>
      </c>
      <c r="V42" s="42">
        <v>6</v>
      </c>
      <c r="W42" s="40" t="e">
        <f t="shared" si="10"/>
        <v>#N/A</v>
      </c>
      <c r="X42" s="40" t="e">
        <f t="shared" si="10"/>
        <v>#N/A</v>
      </c>
      <c r="Y42" s="40" t="e">
        <f t="shared" si="14"/>
        <v>#N/A</v>
      </c>
      <c r="Z42" s="40">
        <f t="shared" si="11"/>
        <v>32</v>
      </c>
      <c r="AA42" s="41" t="e">
        <f t="shared" si="15"/>
        <v>#N/A</v>
      </c>
      <c r="AB42" s="42">
        <v>6</v>
      </c>
      <c r="AC42" s="40" t="e">
        <f t="shared" si="16"/>
        <v>#N/A</v>
      </c>
      <c r="AD42" s="40" t="e">
        <f t="shared" si="16"/>
        <v>#N/A</v>
      </c>
      <c r="AE42" s="40" t="e">
        <f t="shared" si="17"/>
        <v>#N/A</v>
      </c>
      <c r="AF42" s="40">
        <f t="shared" si="12"/>
        <v>32</v>
      </c>
      <c r="AG42" s="41" t="e">
        <f t="shared" si="18"/>
        <v>#N/A</v>
      </c>
      <c r="AH42" s="42">
        <v>6</v>
      </c>
      <c r="AI42" s="40" t="e">
        <f t="shared" si="19"/>
        <v>#N/A</v>
      </c>
      <c r="AJ42" s="40" t="e">
        <f t="shared" si="19"/>
        <v>#N/A</v>
      </c>
      <c r="AK42" s="40" t="e">
        <f t="shared" si="20"/>
        <v>#N/A</v>
      </c>
      <c r="AL42" s="40">
        <f t="shared" si="13"/>
        <v>32</v>
      </c>
      <c r="AM42" s="41" t="e">
        <f t="shared" si="21"/>
        <v>#N/A</v>
      </c>
      <c r="AN42" s="42">
        <v>6</v>
      </c>
      <c r="AO42">
        <v>0</v>
      </c>
      <c r="AX42">
        <v>27</v>
      </c>
      <c r="AY42" t="e">
        <f>IF($H$43="3",M48,COMPUTER!P35)</f>
        <v>#N/A</v>
      </c>
      <c r="BC42">
        <v>27</v>
      </c>
      <c r="BD42" t="e">
        <f>IF(IF($B$43="Execute",M48,COMPUTER!P35)=0,"",IF(AND($H$43="3",$B$43="Execute"),M48,COMPUTER!P35))</f>
        <v>#N/A</v>
      </c>
      <c r="BK42" s="15">
        <v>27</v>
      </c>
      <c r="BL42" s="15" t="str">
        <f t="shared" si="9"/>
        <v>1B</v>
      </c>
      <c r="BM42">
        <f>BM41</f>
        <v>40</v>
      </c>
    </row>
    <row r="43" spans="1:65">
      <c r="A43">
        <f>C39</f>
        <v>0</v>
      </c>
      <c r="B43" t="e">
        <f>VLOOKUP(A43,$A$46:$I$105,3)</f>
        <v>#N/A</v>
      </c>
      <c r="C43" t="e">
        <f>VLOOKUP(A43,$A$45:$B$105,2,FALSE)</f>
        <v>#N/A</v>
      </c>
      <c r="D43" t="e">
        <f>VLOOKUP(A43,$A$46:$I$105,9,FALSE)</f>
        <v>#N/A</v>
      </c>
      <c r="H43" t="e">
        <f>VLOOKUP(A43,$A$46:$E$105,5,FALSE)</f>
        <v>#N/A</v>
      </c>
      <c r="J43" s="50"/>
      <c r="K43" s="51">
        <v>22</v>
      </c>
      <c r="L43" s="51" t="str">
        <f>COMPUTER!P30</f>
        <v/>
      </c>
      <c r="M43" s="52" t="e">
        <f t="shared" si="5"/>
        <v>#N/A</v>
      </c>
      <c r="V43" s="42">
        <v>5</v>
      </c>
      <c r="W43" s="40" t="e">
        <f t="shared" si="10"/>
        <v>#N/A</v>
      </c>
      <c r="X43" s="40" t="e">
        <f t="shared" si="10"/>
        <v>#N/A</v>
      </c>
      <c r="Y43" s="40" t="e">
        <f t="shared" si="14"/>
        <v>#N/A</v>
      </c>
      <c r="Z43" s="40">
        <f t="shared" si="11"/>
        <v>16</v>
      </c>
      <c r="AA43" s="41" t="e">
        <f t="shared" si="15"/>
        <v>#N/A</v>
      </c>
      <c r="AB43" s="42">
        <v>5</v>
      </c>
      <c r="AC43" s="40" t="e">
        <f t="shared" si="16"/>
        <v>#N/A</v>
      </c>
      <c r="AD43" s="40" t="e">
        <f t="shared" si="16"/>
        <v>#N/A</v>
      </c>
      <c r="AE43" s="40" t="e">
        <f t="shared" si="17"/>
        <v>#N/A</v>
      </c>
      <c r="AF43" s="40">
        <f t="shared" si="12"/>
        <v>16</v>
      </c>
      <c r="AG43" s="41" t="e">
        <f t="shared" si="18"/>
        <v>#N/A</v>
      </c>
      <c r="AH43" s="42">
        <v>5</v>
      </c>
      <c r="AI43" s="40" t="e">
        <f t="shared" si="19"/>
        <v>#N/A</v>
      </c>
      <c r="AJ43" s="40" t="e">
        <f t="shared" si="19"/>
        <v>#N/A</v>
      </c>
      <c r="AK43" s="40" t="e">
        <f t="shared" si="20"/>
        <v>#N/A</v>
      </c>
      <c r="AL43" s="40">
        <f t="shared" si="13"/>
        <v>16</v>
      </c>
      <c r="AM43" s="41" t="e">
        <f t="shared" si="21"/>
        <v>#N/A</v>
      </c>
      <c r="AN43" s="42">
        <v>5</v>
      </c>
      <c r="AO43">
        <v>0</v>
      </c>
      <c r="AX43">
        <v>28</v>
      </c>
      <c r="AY43" t="e">
        <f>IF($H$43="3",M49,COMPUTER!P36)</f>
        <v>#N/A</v>
      </c>
      <c r="BC43">
        <v>28</v>
      </c>
      <c r="BD43" t="e">
        <f>IF(IF($B$43="Execute",M49,COMPUTER!P36)=0,"",IF(AND($H$43="3",$B$43="Execute"),M49,COMPUTER!P36))</f>
        <v>#N/A</v>
      </c>
      <c r="BK43" s="15">
        <v>28</v>
      </c>
      <c r="BL43" s="15" t="str">
        <f t="shared" si="9"/>
        <v>1C</v>
      </c>
      <c r="BM43">
        <f>BM41+3</f>
        <v>43</v>
      </c>
    </row>
    <row r="44" spans="1:65">
      <c r="F44" t="e">
        <f>VLOOKUP($A$43,$A$46:$H$105,6)</f>
        <v>#N/A</v>
      </c>
      <c r="G44" t="e">
        <f>VLOOKUP($A$43,$A$46:$H$105,7)</f>
        <v>#N/A</v>
      </c>
      <c r="H44" t="e">
        <f>VLOOKUP($A$43,$A$46:$H$105,8)</f>
        <v>#N/A</v>
      </c>
      <c r="J44" s="50"/>
      <c r="K44" s="51">
        <v>23</v>
      </c>
      <c r="L44" s="51" t="str">
        <f>COMPUTER!P31</f>
        <v/>
      </c>
      <c r="M44" s="52" t="e">
        <f t="shared" si="5"/>
        <v>#N/A</v>
      </c>
      <c r="V44" s="42">
        <v>4</v>
      </c>
      <c r="W44" s="40" t="e">
        <f t="shared" si="10"/>
        <v>#N/A</v>
      </c>
      <c r="X44" s="40" t="e">
        <f t="shared" si="10"/>
        <v>#N/A</v>
      </c>
      <c r="Y44" s="40" t="e">
        <f t="shared" si="14"/>
        <v>#N/A</v>
      </c>
      <c r="Z44" s="40">
        <f t="shared" si="11"/>
        <v>8</v>
      </c>
      <c r="AA44" s="41" t="e">
        <f t="shared" si="15"/>
        <v>#N/A</v>
      </c>
      <c r="AB44" s="42">
        <v>4</v>
      </c>
      <c r="AC44" s="40" t="e">
        <f t="shared" si="16"/>
        <v>#N/A</v>
      </c>
      <c r="AD44" s="40" t="e">
        <f t="shared" si="16"/>
        <v>#N/A</v>
      </c>
      <c r="AE44" s="40" t="e">
        <f t="shared" si="17"/>
        <v>#N/A</v>
      </c>
      <c r="AF44" s="40">
        <f t="shared" si="12"/>
        <v>8</v>
      </c>
      <c r="AG44" s="41" t="e">
        <f t="shared" si="18"/>
        <v>#N/A</v>
      </c>
      <c r="AH44" s="42">
        <v>4</v>
      </c>
      <c r="AI44" s="40" t="e">
        <f t="shared" si="19"/>
        <v>#N/A</v>
      </c>
      <c r="AJ44" s="40" t="e">
        <f t="shared" si="19"/>
        <v>#N/A</v>
      </c>
      <c r="AK44" s="40" t="e">
        <f t="shared" si="20"/>
        <v>#N/A</v>
      </c>
      <c r="AL44" s="40">
        <f t="shared" si="13"/>
        <v>8</v>
      </c>
      <c r="AM44" s="41" t="e">
        <f t="shared" si="21"/>
        <v>#N/A</v>
      </c>
      <c r="AN44" s="42">
        <v>4</v>
      </c>
      <c r="AO44">
        <v>0</v>
      </c>
      <c r="AX44">
        <v>29</v>
      </c>
      <c r="AY44" t="e">
        <f>IF($H$43="3",M50,COMPUTER!P37)</f>
        <v>#N/A</v>
      </c>
      <c r="BC44">
        <v>29</v>
      </c>
      <c r="BD44" t="e">
        <f>IF(IF($B$43="Execute",M50,COMPUTER!P37)=0,"",IF(AND($H$43="3",$B$43="Execute"),M50,COMPUTER!P37))</f>
        <v>#N/A</v>
      </c>
      <c r="BK44" s="15">
        <v>29</v>
      </c>
      <c r="BL44" s="15" t="str">
        <f t="shared" si="9"/>
        <v>1D</v>
      </c>
      <c r="BM44">
        <f>BM43</f>
        <v>43</v>
      </c>
    </row>
    <row r="45" spans="1:65">
      <c r="A45" t="s">
        <v>90</v>
      </c>
      <c r="B45" t="s">
        <v>29</v>
      </c>
      <c r="C45" t="s">
        <v>91</v>
      </c>
      <c r="D45" t="s">
        <v>92</v>
      </c>
      <c r="E45" t="s">
        <v>94</v>
      </c>
      <c r="I45" t="s">
        <v>93</v>
      </c>
      <c r="J45" s="50"/>
      <c r="K45" s="51">
        <v>24</v>
      </c>
      <c r="L45" s="51" t="str">
        <f>COMPUTER!P32</f>
        <v/>
      </c>
      <c r="M45" s="52" t="e">
        <f t="shared" si="5"/>
        <v>#N/A</v>
      </c>
      <c r="V45" s="42">
        <v>3</v>
      </c>
      <c r="W45" s="40" t="e">
        <f t="shared" si="10"/>
        <v>#N/A</v>
      </c>
      <c r="X45" s="40" t="e">
        <f t="shared" si="10"/>
        <v>#N/A</v>
      </c>
      <c r="Y45" s="40" t="e">
        <f t="shared" si="14"/>
        <v>#N/A</v>
      </c>
      <c r="Z45" s="40">
        <f t="shared" si="11"/>
        <v>4</v>
      </c>
      <c r="AA45" s="41" t="e">
        <f t="shared" si="15"/>
        <v>#N/A</v>
      </c>
      <c r="AB45" s="42">
        <v>3</v>
      </c>
      <c r="AC45" s="40" t="e">
        <f t="shared" si="16"/>
        <v>#N/A</v>
      </c>
      <c r="AD45" s="40" t="e">
        <f t="shared" si="16"/>
        <v>#N/A</v>
      </c>
      <c r="AE45" s="40" t="e">
        <f t="shared" si="17"/>
        <v>#N/A</v>
      </c>
      <c r="AF45" s="40">
        <f t="shared" si="12"/>
        <v>4</v>
      </c>
      <c r="AG45" s="41" t="e">
        <f t="shared" si="18"/>
        <v>#N/A</v>
      </c>
      <c r="AH45" s="42">
        <v>3</v>
      </c>
      <c r="AI45" s="40" t="e">
        <f t="shared" si="19"/>
        <v>#N/A</v>
      </c>
      <c r="AJ45" s="40" t="e">
        <f t="shared" si="19"/>
        <v>#N/A</v>
      </c>
      <c r="AK45" s="40" t="e">
        <f t="shared" si="20"/>
        <v>#N/A</v>
      </c>
      <c r="AL45" s="40">
        <f t="shared" si="13"/>
        <v>4</v>
      </c>
      <c r="AM45" s="41" t="e">
        <f t="shared" si="21"/>
        <v>#N/A</v>
      </c>
      <c r="AN45" s="42">
        <v>3</v>
      </c>
      <c r="AO45">
        <v>0</v>
      </c>
      <c r="AX45">
        <v>30</v>
      </c>
      <c r="AY45" t="e">
        <f>IF($H$43="3",M51,COMPUTER!P38)</f>
        <v>#N/A</v>
      </c>
      <c r="BC45">
        <v>30</v>
      </c>
      <c r="BD45" t="e">
        <f>IF(IF($B$43="Execute",M51,COMPUTER!P38)=0,"",IF(AND($H$43="3",$B$43="Execute"),M51,COMPUTER!P38))</f>
        <v>#N/A</v>
      </c>
      <c r="BK45" s="15">
        <v>30</v>
      </c>
      <c r="BL45" s="15" t="str">
        <f t="shared" si="9"/>
        <v>1E</v>
      </c>
      <c r="BM45">
        <f>BM43+3</f>
        <v>46</v>
      </c>
    </row>
    <row r="46" spans="1:65">
      <c r="A46">
        <v>1</v>
      </c>
      <c r="B46">
        <v>0</v>
      </c>
      <c r="C46" t="s">
        <v>73</v>
      </c>
      <c r="D46" t="str">
        <f>VLOOKUP(B46,COMPUTER!$M$8:$P$48,4,FALSE)&amp;VLOOKUP(B46+1,COMPUTER!$M$8:$P$48,4,FALSE)</f>
        <v/>
      </c>
      <c r="E46" t="str">
        <f>LEFT(D46,1)</f>
        <v/>
      </c>
      <c r="F46" t="str">
        <f>MID(D46,2,1)</f>
        <v/>
      </c>
      <c r="G46" t="str">
        <f>MID(D46,3,1)</f>
        <v/>
      </c>
      <c r="H46" t="str">
        <f>RIGHT(D46,1)</f>
        <v/>
      </c>
      <c r="I46" t="str">
        <f>IF(OR(E46="1",E46="2",E46="3"),VLOOKUP(E46*1,$A$2:$H$13,3,FALSE)&amp;F46&amp;VLOOKUP(E46*1,$A$2:$H$13,5,FALSE)&amp;G46&amp;H46,IF(E46="4",$C$5&amp;G46&amp;H46,IF(OR(E46="5",E46="6",E46="7",E46="8",E46="9"),VLOOKUP(E46*1,$A$2:$H$13,3,FALSE)&amp;G46&amp;VLOOKUP(E46*1,$A$2:$H$13,5,FALSE)&amp;H46&amp;VLOOKUP(E46*1,$A$2:$H$13,7,FALSE)&amp;F46,IF(E46="A",$C$11&amp;F46&amp;$E$11&amp;H46&amp;$G$11,IF(E46="B",$C$12&amp;G46&amp;H46&amp;$E$12&amp;F46&amp;$G$12,IF(E46="C",$C$13,""))))))</f>
        <v/>
      </c>
      <c r="J46" s="50"/>
      <c r="K46" s="51">
        <v>25</v>
      </c>
      <c r="L46" s="51" t="str">
        <f>COMPUTER!P33</f>
        <v/>
      </c>
      <c r="M46" s="52" t="e">
        <f t="shared" si="5"/>
        <v>#N/A</v>
      </c>
      <c r="V46" s="42">
        <v>2</v>
      </c>
      <c r="W46" s="40" t="e">
        <f>IF($V46&gt;W$39,0,MID(W$18,W$39-$V46*1+1,1)*1)</f>
        <v>#N/A</v>
      </c>
      <c r="X46" s="40" t="e">
        <f t="shared" si="10"/>
        <v>#N/A</v>
      </c>
      <c r="Y46" s="40" t="e">
        <f t="shared" si="14"/>
        <v>#N/A</v>
      </c>
      <c r="Z46" s="40">
        <f>Z47*2</f>
        <v>2</v>
      </c>
      <c r="AA46" s="41" t="e">
        <f t="shared" si="15"/>
        <v>#N/A</v>
      </c>
      <c r="AB46" s="42">
        <v>2</v>
      </c>
      <c r="AC46" s="40" t="e">
        <f t="shared" si="16"/>
        <v>#N/A</v>
      </c>
      <c r="AD46" s="40" t="e">
        <f t="shared" si="16"/>
        <v>#N/A</v>
      </c>
      <c r="AE46" s="40" t="e">
        <f t="shared" si="17"/>
        <v>#N/A</v>
      </c>
      <c r="AF46" s="40">
        <f>AF47*2</f>
        <v>2</v>
      </c>
      <c r="AG46" s="41" t="e">
        <f t="shared" si="18"/>
        <v>#N/A</v>
      </c>
      <c r="AH46" s="42">
        <v>2</v>
      </c>
      <c r="AI46" s="40" t="e">
        <f t="shared" si="19"/>
        <v>#N/A</v>
      </c>
      <c r="AJ46" s="40" t="e">
        <f t="shared" si="19"/>
        <v>#N/A</v>
      </c>
      <c r="AK46" s="40" t="e">
        <f t="shared" si="20"/>
        <v>#N/A</v>
      </c>
      <c r="AL46" s="40">
        <f>AL47*2</f>
        <v>2</v>
      </c>
      <c r="AM46" s="41" t="e">
        <f t="shared" si="21"/>
        <v>#N/A</v>
      </c>
      <c r="AN46" s="42">
        <v>2</v>
      </c>
      <c r="AO46">
        <v>0</v>
      </c>
      <c r="AX46">
        <v>31</v>
      </c>
      <c r="AY46" t="e">
        <f>IF($H$43="3",M52,COMPUTER!P39)</f>
        <v>#N/A</v>
      </c>
      <c r="BC46">
        <v>31</v>
      </c>
      <c r="BD46" t="e">
        <f>IF(IF($B$43="Execute",M52,COMPUTER!P39)=0,"",IF(AND($H$43="3",$B$43="Execute"),M52,COMPUTER!P39))</f>
        <v>#N/A</v>
      </c>
      <c r="BK46" s="15">
        <v>31</v>
      </c>
      <c r="BL46" s="15" t="str">
        <f t="shared" si="9"/>
        <v>1F</v>
      </c>
      <c r="BM46">
        <f>BM45</f>
        <v>46</v>
      </c>
    </row>
    <row r="47" spans="1:65">
      <c r="A47">
        <v>2</v>
      </c>
      <c r="B47">
        <v>0</v>
      </c>
      <c r="C47" t="s">
        <v>74</v>
      </c>
      <c r="D47" t="str">
        <f>VLOOKUP(B47,COMPUTER!$M$8:$P$48,4,FALSE)&amp;VLOOKUP(B47+1,COMPUTER!$M$8:$P$48,4,FALSE)</f>
        <v/>
      </c>
      <c r="E47" t="str">
        <f t="shared" ref="E47:E105" si="22">LEFT(D47,1)</f>
        <v/>
      </c>
      <c r="F47" t="str">
        <f t="shared" ref="F47:F105" si="23">MID(D47,2,1)</f>
        <v/>
      </c>
      <c r="G47" t="str">
        <f t="shared" ref="G47:G105" si="24">MID(D47,3,1)</f>
        <v/>
      </c>
      <c r="H47" t="str">
        <f t="shared" ref="H47:H105" si="25">RIGHT(D47,1)</f>
        <v/>
      </c>
      <c r="I47" t="str">
        <f t="shared" ref="I47:I105" si="26">IF(OR(E47="1",E47="2",E47="3"),VLOOKUP(E47*1,$A$2:$H$13,3,FALSE)&amp;F47&amp;VLOOKUP(E47*1,$A$2:$H$13,5,FALSE)&amp;G47&amp;H47,IF(E47="4",$C$5&amp;G47&amp;H47,IF(OR(E47="5",E47="6",E47="7",E47="8",E47="9"),VLOOKUP(E47*1,$A$2:$H$13,3,FALSE)&amp;G47&amp;VLOOKUP(E47*1,$A$2:$H$13,5,FALSE)&amp;H47&amp;VLOOKUP(E47*1,$A$2:$H$13,7,FALSE)&amp;F47,IF(E47="A",$C$11&amp;F47&amp;$E$11&amp;H47&amp;$G$11,IF(E47="B",$C$12&amp;G47&amp;H47&amp;$E$12&amp;F47&amp;$G$12,IF(E47="C",$C$13,""))))))</f>
        <v/>
      </c>
      <c r="J47" s="50"/>
      <c r="K47" s="51">
        <v>26</v>
      </c>
      <c r="L47" s="51" t="str">
        <f>COMPUTER!P34</f>
        <v/>
      </c>
      <c r="M47" s="52" t="e">
        <f t="shared" si="5"/>
        <v>#N/A</v>
      </c>
      <c r="V47" s="42">
        <v>1</v>
      </c>
      <c r="W47" s="40" t="e">
        <f>IF($V47&gt;W$39,0,MID(W$18,W$39-$V47*1+1,1)*1)</f>
        <v>#N/A</v>
      </c>
      <c r="X47" s="40" t="e">
        <f t="shared" si="10"/>
        <v>#N/A</v>
      </c>
      <c r="Y47" s="40" t="e">
        <f t="shared" si="14"/>
        <v>#N/A</v>
      </c>
      <c r="Z47" s="40">
        <v>1</v>
      </c>
      <c r="AA47" s="41" t="e">
        <f t="shared" si="15"/>
        <v>#N/A</v>
      </c>
      <c r="AB47" s="42">
        <v>1</v>
      </c>
      <c r="AC47" s="40" t="e">
        <f t="shared" si="16"/>
        <v>#N/A</v>
      </c>
      <c r="AD47" s="40" t="e">
        <f t="shared" si="16"/>
        <v>#N/A</v>
      </c>
      <c r="AE47" s="40" t="e">
        <f t="shared" si="17"/>
        <v>#N/A</v>
      </c>
      <c r="AF47" s="40">
        <v>1</v>
      </c>
      <c r="AG47" s="41" t="e">
        <f t="shared" si="18"/>
        <v>#N/A</v>
      </c>
      <c r="AH47" s="42">
        <v>1</v>
      </c>
      <c r="AI47" s="40" t="e">
        <f t="shared" si="19"/>
        <v>#N/A</v>
      </c>
      <c r="AJ47" s="40" t="e">
        <f t="shared" si="19"/>
        <v>#N/A</v>
      </c>
      <c r="AK47" s="40" t="e">
        <f t="shared" si="20"/>
        <v>#N/A</v>
      </c>
      <c r="AL47" s="40">
        <v>1</v>
      </c>
      <c r="AM47" s="41" t="e">
        <f t="shared" si="21"/>
        <v>#N/A</v>
      </c>
      <c r="AN47" s="42">
        <v>1</v>
      </c>
      <c r="AO47">
        <v>0</v>
      </c>
      <c r="AX47">
        <v>32</v>
      </c>
      <c r="AY47" t="e">
        <f>IF($H$43="3",M53,COMPUTER!P40)</f>
        <v>#N/A</v>
      </c>
      <c r="BC47">
        <v>32</v>
      </c>
      <c r="BD47" t="e">
        <f>IF(IF($B$43="Execute",M53,COMPUTER!P40)=0,"",IF(AND($H$43="3",$B$43="Execute"),M53,COMPUTER!P40))</f>
        <v>#N/A</v>
      </c>
      <c r="BK47" s="15">
        <v>32</v>
      </c>
      <c r="BL47" s="15" t="str">
        <f t="shared" si="9"/>
        <v>20</v>
      </c>
      <c r="BM47">
        <f>BM45+3</f>
        <v>49</v>
      </c>
    </row>
    <row r="48" spans="1:65">
      <c r="A48">
        <v>3</v>
      </c>
      <c r="B48">
        <v>0</v>
      </c>
      <c r="C48" t="s">
        <v>75</v>
      </c>
      <c r="D48" t="str">
        <f>VLOOKUP(B48,COMPUTER!$M$8:$P$48,4,FALSE)&amp;VLOOKUP(B48+1,COMPUTER!$M$8:$P$48,4,FALSE)</f>
        <v/>
      </c>
      <c r="E48" t="str">
        <f t="shared" si="22"/>
        <v/>
      </c>
      <c r="F48" t="str">
        <f t="shared" si="23"/>
        <v/>
      </c>
      <c r="G48" t="str">
        <f t="shared" si="24"/>
        <v/>
      </c>
      <c r="H48" t="str">
        <f t="shared" si="25"/>
        <v/>
      </c>
      <c r="I48" t="str">
        <f t="shared" si="26"/>
        <v/>
      </c>
      <c r="J48" s="50"/>
      <c r="K48" s="51">
        <v>27</v>
      </c>
      <c r="L48" s="51" t="str">
        <f>COMPUTER!P35</f>
        <v/>
      </c>
      <c r="M48" s="52" t="e">
        <f t="shared" si="5"/>
        <v>#N/A</v>
      </c>
      <c r="V48" s="42"/>
      <c r="W48" s="40"/>
      <c r="X48" s="40"/>
      <c r="Y48" s="40"/>
      <c r="Z48" s="40"/>
      <c r="AA48" s="41" t="e">
        <f>SUM(AA40:AA47)</f>
        <v>#N/A</v>
      </c>
      <c r="AB48" s="42"/>
      <c r="AC48" s="40"/>
      <c r="AD48" s="40"/>
      <c r="AE48" s="40"/>
      <c r="AF48" s="40"/>
      <c r="AG48" s="41" t="e">
        <f>SUM(AG40:AG47)</f>
        <v>#N/A</v>
      </c>
      <c r="AH48" s="42"/>
      <c r="AI48" s="40"/>
      <c r="AJ48" s="40"/>
      <c r="AK48" s="40"/>
      <c r="AL48" s="40"/>
      <c r="AM48" s="41" t="e">
        <f>SUM(AM40:AM47)</f>
        <v>#N/A</v>
      </c>
      <c r="AN48" s="42">
        <v>8</v>
      </c>
      <c r="AO48" s="40" t="e">
        <f t="shared" ref="AO48:AO55" si="27">IF($AN48&gt;AO$39,0,MID(AO$19,AO$39-$AN48*1+1,1)*1)</f>
        <v>#N/A</v>
      </c>
      <c r="AP48" s="40" t="e">
        <f ca="1">OFFSET(AO48,-$AP$17,0)</f>
        <v>#N/A</v>
      </c>
      <c r="AQ48" s="40" t="e">
        <f ca="1">AP48</f>
        <v>#N/A</v>
      </c>
      <c r="AR48" s="40">
        <f t="shared" ref="AR48:AR53" si="28">AR49*2</f>
        <v>128</v>
      </c>
      <c r="AS48" s="41" t="e">
        <f ca="1">AQ48*AR48</f>
        <v>#N/A</v>
      </c>
      <c r="AX48">
        <v>33</v>
      </c>
      <c r="AY48" t="e">
        <f>IF($H$43="3",M54,COMPUTER!P41)</f>
        <v>#N/A</v>
      </c>
      <c r="BC48">
        <v>33</v>
      </c>
      <c r="BD48" t="e">
        <f>IF(IF($B$43="Execute",M54,COMPUTER!P41)=0,"",IF(AND($H$43="3",$B$43="Execute"),M54,COMPUTER!P41))</f>
        <v>#N/A</v>
      </c>
      <c r="BK48" s="15">
        <v>33</v>
      </c>
      <c r="BL48" s="15" t="str">
        <f t="shared" si="9"/>
        <v>21</v>
      </c>
      <c r="BM48">
        <f>BM47</f>
        <v>49</v>
      </c>
    </row>
    <row r="49" spans="1:65" ht="13.5" thickBot="1">
      <c r="A49">
        <v>4</v>
      </c>
      <c r="B49">
        <f>IF(C48="Execute",B48+2,B48)</f>
        <v>2</v>
      </c>
      <c r="C49" t="s">
        <v>73</v>
      </c>
      <c r="D49" t="str">
        <f>VLOOKUP(B49,COMPUTER!$M$8:$P$48,4,FALSE)&amp;VLOOKUP(B49+1,COMPUTER!$M$8:$P$48,4,FALSE)</f>
        <v/>
      </c>
      <c r="E49" t="str">
        <f t="shared" si="22"/>
        <v/>
      </c>
      <c r="F49" t="str">
        <f t="shared" si="23"/>
        <v/>
      </c>
      <c r="G49" t="str">
        <f t="shared" si="24"/>
        <v/>
      </c>
      <c r="H49" t="str">
        <f t="shared" si="25"/>
        <v/>
      </c>
      <c r="I49" t="str">
        <f t="shared" si="26"/>
        <v/>
      </c>
      <c r="J49" s="50"/>
      <c r="K49" s="51">
        <v>28</v>
      </c>
      <c r="L49" s="51" t="str">
        <f>COMPUTER!P36</f>
        <v/>
      </c>
      <c r="M49" s="52" t="e">
        <f t="shared" si="5"/>
        <v>#N/A</v>
      </c>
      <c r="V49" s="43"/>
      <c r="W49" s="44"/>
      <c r="X49" s="44"/>
      <c r="Y49" s="44"/>
      <c r="Z49" s="44"/>
      <c r="AA49" s="45" t="e">
        <f>DEC2HEX(AA48)</f>
        <v>#N/A</v>
      </c>
      <c r="AB49" s="43"/>
      <c r="AC49" s="44"/>
      <c r="AD49" s="44"/>
      <c r="AE49" s="44"/>
      <c r="AF49" s="44"/>
      <c r="AG49" s="45" t="e">
        <f>DEC2HEX(AG48)</f>
        <v>#N/A</v>
      </c>
      <c r="AH49" s="43"/>
      <c r="AI49" s="44"/>
      <c r="AJ49" s="44"/>
      <c r="AK49" s="44"/>
      <c r="AL49" s="44"/>
      <c r="AM49" s="45" t="e">
        <f>DEC2HEX(AM48)</f>
        <v>#N/A</v>
      </c>
      <c r="AN49" s="42">
        <v>7</v>
      </c>
      <c r="AO49" s="40" t="e">
        <f t="shared" si="27"/>
        <v>#N/A</v>
      </c>
      <c r="AP49" s="40" t="e">
        <f t="shared" ref="AP49:AP55" ca="1" si="29">OFFSET(AO49,-$AP$17,0)</f>
        <v>#N/A</v>
      </c>
      <c r="AQ49" s="40" t="e">
        <f t="shared" ref="AQ49:AQ55" ca="1" si="30">AP49</f>
        <v>#N/A</v>
      </c>
      <c r="AR49" s="40">
        <f t="shared" si="28"/>
        <v>64</v>
      </c>
      <c r="AS49" s="41" t="e">
        <f t="shared" ref="AS49:AS55" ca="1" si="31">AQ49*AR49</f>
        <v>#N/A</v>
      </c>
      <c r="AX49">
        <v>34</v>
      </c>
      <c r="AY49" t="e">
        <f>IF($H$43="3",M55,COMPUTER!P42)</f>
        <v>#N/A</v>
      </c>
      <c r="BC49">
        <v>34</v>
      </c>
      <c r="BD49" t="e">
        <f>IF(IF($B$43="Execute",M55,COMPUTER!P42)=0,"",IF(AND($H$43="3",$B$43="Execute"),M55,COMPUTER!P42))</f>
        <v>#N/A</v>
      </c>
      <c r="BK49" s="15">
        <v>34</v>
      </c>
      <c r="BL49" s="15" t="str">
        <f t="shared" si="9"/>
        <v>22</v>
      </c>
      <c r="BM49">
        <f>BM47+3</f>
        <v>52</v>
      </c>
    </row>
    <row r="50" spans="1:65">
      <c r="A50">
        <v>5</v>
      </c>
      <c r="B50">
        <f t="shared" ref="B50:B105" si="32">IF(C49="Execute",B49+2,B49)</f>
        <v>2</v>
      </c>
      <c r="C50" t="s">
        <v>74</v>
      </c>
      <c r="D50" t="str">
        <f>VLOOKUP(B50,COMPUTER!$M$8:$P$48,4,FALSE)&amp;VLOOKUP(B50+1,COMPUTER!$M$8:$P$48,4,FALSE)</f>
        <v/>
      </c>
      <c r="E50" t="str">
        <f t="shared" si="22"/>
        <v/>
      </c>
      <c r="F50" t="str">
        <f t="shared" si="23"/>
        <v/>
      </c>
      <c r="G50" t="str">
        <f t="shared" si="24"/>
        <v/>
      </c>
      <c r="H50" t="str">
        <f t="shared" si="25"/>
        <v/>
      </c>
      <c r="I50" t="str">
        <f t="shared" si="26"/>
        <v/>
      </c>
      <c r="J50" s="50"/>
      <c r="K50" s="51">
        <v>29</v>
      </c>
      <c r="L50" s="51" t="str">
        <f>COMPUTER!P37</f>
        <v/>
      </c>
      <c r="M50" s="52" t="e">
        <f t="shared" si="5"/>
        <v>#N/A</v>
      </c>
      <c r="AN50" s="42">
        <v>6</v>
      </c>
      <c r="AO50" s="40" t="e">
        <f t="shared" si="27"/>
        <v>#N/A</v>
      </c>
      <c r="AP50" s="40" t="e">
        <f t="shared" ca="1" si="29"/>
        <v>#N/A</v>
      </c>
      <c r="AQ50" s="40" t="e">
        <f t="shared" ca="1" si="30"/>
        <v>#N/A</v>
      </c>
      <c r="AR50" s="40">
        <f t="shared" si="28"/>
        <v>32</v>
      </c>
      <c r="AS50" s="41" t="e">
        <f t="shared" ca="1" si="31"/>
        <v>#N/A</v>
      </c>
      <c r="AX50">
        <v>35</v>
      </c>
      <c r="AY50" t="e">
        <f>IF($H$43="3",M56,COMPUTER!P43)</f>
        <v>#N/A</v>
      </c>
      <c r="BC50">
        <v>35</v>
      </c>
      <c r="BD50" t="e">
        <f>IF(IF($B$43="Execute",M56,COMPUTER!P43)=0,"",IF(AND($H$43="3",$B$43="Execute"),M56,COMPUTER!P43))</f>
        <v>#N/A</v>
      </c>
      <c r="BK50" s="15">
        <v>35</v>
      </c>
      <c r="BL50" s="15" t="str">
        <f t="shared" si="9"/>
        <v>23</v>
      </c>
      <c r="BM50">
        <f>BM49</f>
        <v>52</v>
      </c>
    </row>
    <row r="51" spans="1:65">
      <c r="A51">
        <v>6</v>
      </c>
      <c r="B51">
        <f t="shared" si="32"/>
        <v>2</v>
      </c>
      <c r="C51" t="s">
        <v>75</v>
      </c>
      <c r="D51" t="str">
        <f>VLOOKUP(B51,COMPUTER!$M$8:$P$48,4,FALSE)&amp;VLOOKUP(B51+1,COMPUTER!$M$8:$P$48,4,FALSE)</f>
        <v/>
      </c>
      <c r="E51" t="str">
        <f t="shared" si="22"/>
        <v/>
      </c>
      <c r="F51" t="str">
        <f t="shared" si="23"/>
        <v/>
      </c>
      <c r="G51" t="str">
        <f t="shared" si="24"/>
        <v/>
      </c>
      <c r="H51" t="str">
        <f t="shared" si="25"/>
        <v/>
      </c>
      <c r="I51" t="str">
        <f t="shared" si="26"/>
        <v/>
      </c>
      <c r="J51" s="50"/>
      <c r="K51" s="51">
        <v>30</v>
      </c>
      <c r="L51" s="51" t="str">
        <f>COMPUTER!P38</f>
        <v/>
      </c>
      <c r="M51" s="52" t="e">
        <f t="shared" si="5"/>
        <v>#N/A</v>
      </c>
      <c r="AN51" s="42">
        <v>5</v>
      </c>
      <c r="AO51" s="40" t="e">
        <f t="shared" si="27"/>
        <v>#N/A</v>
      </c>
      <c r="AP51" s="40" t="e">
        <f t="shared" ca="1" si="29"/>
        <v>#N/A</v>
      </c>
      <c r="AQ51" s="40" t="e">
        <f t="shared" ca="1" si="30"/>
        <v>#N/A</v>
      </c>
      <c r="AR51" s="40">
        <f t="shared" si="28"/>
        <v>16</v>
      </c>
      <c r="AS51" s="41" t="e">
        <f t="shared" ca="1" si="31"/>
        <v>#N/A</v>
      </c>
      <c r="AX51">
        <v>36</v>
      </c>
      <c r="AY51" t="e">
        <f>IF($H$43="3",M57,COMPUTER!P44)</f>
        <v>#N/A</v>
      </c>
      <c r="BC51">
        <v>36</v>
      </c>
      <c r="BD51" t="e">
        <f>IF(IF($B$43="Execute",M57,COMPUTER!P44)=0,"",IF(AND($H$43="3",$B$43="Execute"),M57,COMPUTER!P44))</f>
        <v>#N/A</v>
      </c>
      <c r="BK51" s="15">
        <v>36</v>
      </c>
      <c r="BL51" s="15" t="str">
        <f t="shared" si="9"/>
        <v>24</v>
      </c>
      <c r="BM51">
        <f>BM49+3</f>
        <v>55</v>
      </c>
    </row>
    <row r="52" spans="1:65">
      <c r="A52">
        <v>7</v>
      </c>
      <c r="B52">
        <f t="shared" si="32"/>
        <v>4</v>
      </c>
      <c r="C52" t="s">
        <v>73</v>
      </c>
      <c r="D52" t="str">
        <f>VLOOKUP(B52,COMPUTER!$M$8:$P$48,4,FALSE)&amp;VLOOKUP(B52+1,COMPUTER!$M$8:$P$48,4,FALSE)</f>
        <v/>
      </c>
      <c r="E52" t="str">
        <f t="shared" si="22"/>
        <v/>
      </c>
      <c r="F52" t="str">
        <f t="shared" si="23"/>
        <v/>
      </c>
      <c r="G52" t="str">
        <f t="shared" si="24"/>
        <v/>
      </c>
      <c r="H52" t="str">
        <f t="shared" si="25"/>
        <v/>
      </c>
      <c r="I52" t="str">
        <f t="shared" si="26"/>
        <v/>
      </c>
      <c r="J52" s="50"/>
      <c r="K52" s="51">
        <v>31</v>
      </c>
      <c r="L52" s="51" t="str">
        <f>COMPUTER!P39</f>
        <v/>
      </c>
      <c r="M52" s="52" t="e">
        <f t="shared" si="5"/>
        <v>#N/A</v>
      </c>
      <c r="AN52" s="42">
        <v>4</v>
      </c>
      <c r="AO52" s="40" t="e">
        <f t="shared" si="27"/>
        <v>#N/A</v>
      </c>
      <c r="AP52" s="40" t="e">
        <f t="shared" ca="1" si="29"/>
        <v>#N/A</v>
      </c>
      <c r="AQ52" s="40" t="e">
        <f t="shared" ca="1" si="30"/>
        <v>#N/A</v>
      </c>
      <c r="AR52" s="40">
        <f t="shared" si="28"/>
        <v>8</v>
      </c>
      <c r="AS52" s="41" t="e">
        <f t="shared" ca="1" si="31"/>
        <v>#N/A</v>
      </c>
      <c r="AX52">
        <v>37</v>
      </c>
      <c r="AY52" t="e">
        <f>IF($H$43="3",M58,COMPUTER!P45)</f>
        <v>#N/A</v>
      </c>
      <c r="BC52">
        <v>37</v>
      </c>
      <c r="BD52" t="e">
        <f>IF(IF($B$43="Execute",M58,COMPUTER!P45)=0,"",IF(AND($H$43="3",$B$43="Execute"),M58,COMPUTER!P45))</f>
        <v>#N/A</v>
      </c>
      <c r="BK52" s="15">
        <v>37</v>
      </c>
      <c r="BL52" s="15" t="str">
        <f t="shared" si="9"/>
        <v>25</v>
      </c>
      <c r="BM52">
        <f>BM51</f>
        <v>55</v>
      </c>
    </row>
    <row r="53" spans="1:65">
      <c r="A53">
        <v>8</v>
      </c>
      <c r="B53">
        <f t="shared" si="32"/>
        <v>4</v>
      </c>
      <c r="C53" t="s">
        <v>74</v>
      </c>
      <c r="D53" t="str">
        <f>VLOOKUP(B53,COMPUTER!$M$8:$P$48,4,FALSE)&amp;VLOOKUP(B53+1,COMPUTER!$M$8:$P$48,4,FALSE)</f>
        <v/>
      </c>
      <c r="E53" t="str">
        <f t="shared" si="22"/>
        <v/>
      </c>
      <c r="F53" t="str">
        <f t="shared" si="23"/>
        <v/>
      </c>
      <c r="G53" t="str">
        <f t="shared" si="24"/>
        <v/>
      </c>
      <c r="H53" t="str">
        <f t="shared" si="25"/>
        <v/>
      </c>
      <c r="I53" t="str">
        <f t="shared" si="26"/>
        <v/>
      </c>
      <c r="J53" s="50"/>
      <c r="K53" s="51">
        <v>32</v>
      </c>
      <c r="L53" s="51" t="str">
        <f>COMPUTER!P40</f>
        <v/>
      </c>
      <c r="M53" s="52" t="e">
        <f t="shared" si="5"/>
        <v>#N/A</v>
      </c>
      <c r="AN53" s="42">
        <v>3</v>
      </c>
      <c r="AO53" s="40" t="e">
        <f t="shared" si="27"/>
        <v>#N/A</v>
      </c>
      <c r="AP53" s="40" t="e">
        <f t="shared" ca="1" si="29"/>
        <v>#N/A</v>
      </c>
      <c r="AQ53" s="40" t="e">
        <f t="shared" ca="1" si="30"/>
        <v>#N/A</v>
      </c>
      <c r="AR53" s="40">
        <f t="shared" si="28"/>
        <v>4</v>
      </c>
      <c r="AS53" s="41" t="e">
        <f t="shared" ca="1" si="31"/>
        <v>#N/A</v>
      </c>
      <c r="AX53">
        <v>38</v>
      </c>
      <c r="AY53" t="e">
        <f>IF($H$43="3",M59,COMPUTER!P46)</f>
        <v>#N/A</v>
      </c>
      <c r="BC53">
        <v>38</v>
      </c>
      <c r="BD53" t="e">
        <f>IF(IF($B$43="Execute",M59,COMPUTER!P46)=0,"",IF(AND($H$43="3",$B$43="Execute"),M59,COMPUTER!P46))</f>
        <v>#N/A</v>
      </c>
      <c r="BK53" s="15">
        <v>38</v>
      </c>
      <c r="BL53" s="15" t="str">
        <f t="shared" si="9"/>
        <v>26</v>
      </c>
      <c r="BM53">
        <f>BM51+3</f>
        <v>58</v>
      </c>
    </row>
    <row r="54" spans="1:65">
      <c r="A54">
        <v>9</v>
      </c>
      <c r="B54">
        <f t="shared" si="32"/>
        <v>4</v>
      </c>
      <c r="C54" t="s">
        <v>75</v>
      </c>
      <c r="D54" t="str">
        <f>VLOOKUP(B54,COMPUTER!$M$8:$P$48,4,FALSE)&amp;VLOOKUP(B54+1,COMPUTER!$M$8:$P$48,4,FALSE)</f>
        <v/>
      </c>
      <c r="E54" t="str">
        <f t="shared" si="22"/>
        <v/>
      </c>
      <c r="F54" t="str">
        <f t="shared" si="23"/>
        <v/>
      </c>
      <c r="G54" t="str">
        <f t="shared" si="24"/>
        <v/>
      </c>
      <c r="H54" t="str">
        <f t="shared" si="25"/>
        <v/>
      </c>
      <c r="I54" t="str">
        <f t="shared" si="26"/>
        <v/>
      </c>
      <c r="J54" s="50"/>
      <c r="K54" s="51">
        <v>33</v>
      </c>
      <c r="L54" s="51" t="str">
        <f>COMPUTER!P41</f>
        <v/>
      </c>
      <c r="M54" s="52" t="e">
        <f t="shared" si="5"/>
        <v>#N/A</v>
      </c>
      <c r="AN54" s="42">
        <v>2</v>
      </c>
      <c r="AO54" s="40" t="e">
        <f t="shared" si="27"/>
        <v>#N/A</v>
      </c>
      <c r="AP54" s="40" t="e">
        <f t="shared" ca="1" si="29"/>
        <v>#N/A</v>
      </c>
      <c r="AQ54" s="40" t="e">
        <f t="shared" ca="1" si="30"/>
        <v>#N/A</v>
      </c>
      <c r="AR54" s="40">
        <f>AR55*2</f>
        <v>2</v>
      </c>
      <c r="AS54" s="41" t="e">
        <f t="shared" ca="1" si="31"/>
        <v>#N/A</v>
      </c>
      <c r="AX54">
        <v>39</v>
      </c>
      <c r="AY54" t="e">
        <f>IF($H$43="3",M60,COMPUTER!P47)</f>
        <v>#N/A</v>
      </c>
      <c r="BC54">
        <v>39</v>
      </c>
      <c r="BD54" t="e">
        <f>IF(IF($B$43="Execute",M60,COMPUTER!P47)=0,"",IF(AND($H$43="3",$B$43="Execute"),M60,COMPUTER!P47))</f>
        <v>#N/A</v>
      </c>
      <c r="BK54" s="15">
        <v>39</v>
      </c>
      <c r="BL54" s="15" t="str">
        <f t="shared" si="9"/>
        <v>27</v>
      </c>
      <c r="BM54">
        <f>BM53</f>
        <v>58</v>
      </c>
    </row>
    <row r="55" spans="1:65">
      <c r="A55">
        <v>10</v>
      </c>
      <c r="B55">
        <f t="shared" si="32"/>
        <v>6</v>
      </c>
      <c r="C55" t="s">
        <v>73</v>
      </c>
      <c r="D55" t="str">
        <f>VLOOKUP(B55,COMPUTER!$M$8:$P$48,4,FALSE)&amp;VLOOKUP(B55+1,COMPUTER!$M$8:$P$48,4,FALSE)</f>
        <v/>
      </c>
      <c r="E55" t="str">
        <f t="shared" si="22"/>
        <v/>
      </c>
      <c r="F55" t="str">
        <f t="shared" si="23"/>
        <v/>
      </c>
      <c r="G55" t="str">
        <f t="shared" si="24"/>
        <v/>
      </c>
      <c r="H55" t="str">
        <f t="shared" si="25"/>
        <v/>
      </c>
      <c r="I55" t="str">
        <f t="shared" si="26"/>
        <v/>
      </c>
      <c r="J55" s="50"/>
      <c r="K55" s="51">
        <v>34</v>
      </c>
      <c r="L55" s="51" t="str">
        <f>COMPUTER!P42</f>
        <v/>
      </c>
      <c r="M55" s="52" t="e">
        <f t="shared" si="5"/>
        <v>#N/A</v>
      </c>
      <c r="AN55" s="42">
        <v>1</v>
      </c>
      <c r="AO55" s="40" t="e">
        <f t="shared" si="27"/>
        <v>#N/A</v>
      </c>
      <c r="AP55" s="40" t="e">
        <f t="shared" ca="1" si="29"/>
        <v>#N/A</v>
      </c>
      <c r="AQ55" s="40" t="e">
        <f t="shared" ca="1" si="30"/>
        <v>#N/A</v>
      </c>
      <c r="AR55" s="40">
        <v>1</v>
      </c>
      <c r="AS55" s="41" t="e">
        <f t="shared" ca="1" si="31"/>
        <v>#N/A</v>
      </c>
      <c r="AX55">
        <v>40</v>
      </c>
      <c r="AY55" t="e">
        <f>IF($H$43="3",M61,COMPUTER!P48)</f>
        <v>#N/A</v>
      </c>
      <c r="BC55">
        <v>40</v>
      </c>
      <c r="BD55" t="e">
        <f>IF(IF($B$43="Execute",M61,COMPUTER!P48)=0,"",IF(AND($H$43="3",$B$43="Execute"),M61,COMPUTER!P48))</f>
        <v>#N/A</v>
      </c>
      <c r="BK55" s="15"/>
      <c r="BL55" s="15"/>
    </row>
    <row r="56" spans="1:65">
      <c r="A56">
        <v>11</v>
      </c>
      <c r="B56">
        <f t="shared" si="32"/>
        <v>6</v>
      </c>
      <c r="C56" t="s">
        <v>74</v>
      </c>
      <c r="D56" t="str">
        <f>VLOOKUP(B56,COMPUTER!$M$8:$P$48,4,FALSE)&amp;VLOOKUP(B56+1,COMPUTER!$M$8:$P$48,4,FALSE)</f>
        <v/>
      </c>
      <c r="E56" t="str">
        <f t="shared" si="22"/>
        <v/>
      </c>
      <c r="F56" t="str">
        <f t="shared" si="23"/>
        <v/>
      </c>
      <c r="G56" t="str">
        <f t="shared" si="24"/>
        <v/>
      </c>
      <c r="H56" t="str">
        <f t="shared" si="25"/>
        <v/>
      </c>
      <c r="I56" t="str">
        <f t="shared" si="26"/>
        <v/>
      </c>
      <c r="J56" s="50"/>
      <c r="K56" s="51">
        <v>35</v>
      </c>
      <c r="L56" s="51" t="str">
        <f>COMPUTER!P43</f>
        <v/>
      </c>
      <c r="M56" s="52" t="e">
        <f t="shared" si="5"/>
        <v>#N/A</v>
      </c>
      <c r="AN56" s="42"/>
      <c r="AO56" s="40"/>
      <c r="AP56" s="40"/>
      <c r="AQ56" s="40"/>
      <c r="AR56" s="40"/>
      <c r="AS56" s="41" t="e">
        <f ca="1">SUM(AS48:AS55)</f>
        <v>#N/A</v>
      </c>
      <c r="AX56">
        <v>41</v>
      </c>
      <c r="AY56" t="e">
        <f>IF($H$43="3",M62,COMPUTER!P49)</f>
        <v>#N/A</v>
      </c>
      <c r="BC56">
        <v>41</v>
      </c>
      <c r="BD56" t="e">
        <f>IF(IF($B$43="Execute",M62,COMPUTER!P49)=0,"",IF(AND($H$43="3",$B$43="Execute"),M62,COMPUTER!P49))</f>
        <v>#N/A</v>
      </c>
      <c r="BK56" s="15"/>
      <c r="BL56" s="15"/>
    </row>
    <row r="57" spans="1:65" ht="13.5" thickBot="1">
      <c r="A57">
        <v>12</v>
      </c>
      <c r="B57">
        <f t="shared" si="32"/>
        <v>6</v>
      </c>
      <c r="C57" t="s">
        <v>75</v>
      </c>
      <c r="D57" t="str">
        <f>VLOOKUP(B57,COMPUTER!$M$8:$P$48,4,FALSE)&amp;VLOOKUP(B57+1,COMPUTER!$M$8:$P$48,4,FALSE)</f>
        <v/>
      </c>
      <c r="E57" t="str">
        <f t="shared" si="22"/>
        <v/>
      </c>
      <c r="F57" t="str">
        <f t="shared" si="23"/>
        <v/>
      </c>
      <c r="G57" t="str">
        <f t="shared" si="24"/>
        <v/>
      </c>
      <c r="H57" t="str">
        <f t="shared" si="25"/>
        <v/>
      </c>
      <c r="I57" t="str">
        <f t="shared" si="26"/>
        <v/>
      </c>
      <c r="J57" s="50"/>
      <c r="K57" s="51">
        <v>36</v>
      </c>
      <c r="L57" s="51" t="str">
        <f>COMPUTER!P44</f>
        <v/>
      </c>
      <c r="M57" s="52" t="e">
        <f t="shared" si="5"/>
        <v>#N/A</v>
      </c>
      <c r="AN57" s="43"/>
      <c r="AO57" s="44"/>
      <c r="AP57" s="44"/>
      <c r="AQ57" s="44"/>
      <c r="AR57" s="44"/>
      <c r="AS57" s="45" t="e">
        <f ca="1">DEC2HEX(AS56)</f>
        <v>#N/A</v>
      </c>
      <c r="AX57">
        <v>42</v>
      </c>
      <c r="AY57" t="e">
        <f>IF($H$43="3",M63,COMPUTER!P50)</f>
        <v>#N/A</v>
      </c>
      <c r="BC57">
        <v>42</v>
      </c>
      <c r="BD57" t="e">
        <f>IF(IF($B$43="Execute",M63,COMPUTER!P50)=0,"",IF(AND($H$43="3",$B$43="Execute"),M63,COMPUTER!P50))</f>
        <v>#N/A</v>
      </c>
      <c r="BK57" s="15"/>
      <c r="BL57" s="15"/>
    </row>
    <row r="58" spans="1:65">
      <c r="A58">
        <v>13</v>
      </c>
      <c r="B58">
        <f t="shared" si="32"/>
        <v>8</v>
      </c>
      <c r="C58" t="s">
        <v>73</v>
      </c>
      <c r="D58" t="str">
        <f>VLOOKUP(B58,COMPUTER!$M$8:$P$48,4,FALSE)&amp;VLOOKUP(B58+1,COMPUTER!$M$8:$P$48,4,FALSE)</f>
        <v/>
      </c>
      <c r="E58" t="str">
        <f t="shared" si="22"/>
        <v/>
      </c>
      <c r="F58" t="str">
        <f t="shared" si="23"/>
        <v/>
      </c>
      <c r="G58" t="str">
        <f t="shared" si="24"/>
        <v/>
      </c>
      <c r="H58" t="str">
        <f t="shared" si="25"/>
        <v/>
      </c>
      <c r="I58" t="str">
        <f t="shared" si="26"/>
        <v/>
      </c>
      <c r="J58" s="50"/>
      <c r="K58" s="51">
        <v>37</v>
      </c>
      <c r="L58" s="51" t="str">
        <f>COMPUTER!P45</f>
        <v/>
      </c>
      <c r="M58" s="52" t="e">
        <f t="shared" si="5"/>
        <v>#N/A</v>
      </c>
      <c r="AX58">
        <v>43</v>
      </c>
      <c r="AY58" t="e">
        <f>IF($H$43="3",M64,COMPUTER!P51)</f>
        <v>#N/A</v>
      </c>
      <c r="BC58">
        <v>43</v>
      </c>
      <c r="BD58" t="e">
        <f>IF(IF($B$43="Execute",M64,COMPUTER!P51)=0,"",IF(AND($H$43="3",$B$43="Execute"),M64,COMPUTER!P51))</f>
        <v>#N/A</v>
      </c>
      <c r="BK58" s="15"/>
      <c r="BL58" s="15"/>
    </row>
    <row r="59" spans="1:65">
      <c r="A59">
        <v>14</v>
      </c>
      <c r="B59">
        <f t="shared" si="32"/>
        <v>8</v>
      </c>
      <c r="C59" t="s">
        <v>74</v>
      </c>
      <c r="D59" t="str">
        <f>VLOOKUP(B59,COMPUTER!$M$8:$P$48,4,FALSE)&amp;VLOOKUP(B59+1,COMPUTER!$M$8:$P$48,4,FALSE)</f>
        <v/>
      </c>
      <c r="E59" t="str">
        <f t="shared" si="22"/>
        <v/>
      </c>
      <c r="F59" t="str">
        <f t="shared" si="23"/>
        <v/>
      </c>
      <c r="G59" t="str">
        <f t="shared" si="24"/>
        <v/>
      </c>
      <c r="H59" t="str">
        <f t="shared" si="25"/>
        <v/>
      </c>
      <c r="I59" t="str">
        <f t="shared" si="26"/>
        <v/>
      </c>
      <c r="J59" s="50"/>
      <c r="K59" s="51">
        <v>38</v>
      </c>
      <c r="L59" s="51" t="str">
        <f>COMPUTER!P46</f>
        <v/>
      </c>
      <c r="M59" s="52" t="e">
        <f t="shared" si="5"/>
        <v>#N/A</v>
      </c>
      <c r="AX59">
        <v>44</v>
      </c>
      <c r="AY59" t="e">
        <f>IF($H$43="3",M65,COMPUTER!P52)</f>
        <v>#N/A</v>
      </c>
      <c r="BC59">
        <v>44</v>
      </c>
      <c r="BD59" t="e">
        <f>IF(IF($B$43="Execute",M65,COMPUTER!P52)=0,"",IF(AND($H$43="3",$B$43="Execute"),M65,COMPUTER!P52))</f>
        <v>#N/A</v>
      </c>
      <c r="BK59" s="15"/>
      <c r="BL59" s="15"/>
    </row>
    <row r="60" spans="1:65">
      <c r="A60">
        <v>15</v>
      </c>
      <c r="B60">
        <f t="shared" si="32"/>
        <v>8</v>
      </c>
      <c r="C60" t="s">
        <v>75</v>
      </c>
      <c r="D60" t="str">
        <f>VLOOKUP(B60,COMPUTER!$M$8:$P$48,4,FALSE)&amp;VLOOKUP(B60+1,COMPUTER!$M$8:$P$48,4,FALSE)</f>
        <v/>
      </c>
      <c r="E60" t="str">
        <f t="shared" si="22"/>
        <v/>
      </c>
      <c r="F60" t="str">
        <f t="shared" si="23"/>
        <v/>
      </c>
      <c r="G60" t="str">
        <f t="shared" si="24"/>
        <v/>
      </c>
      <c r="H60" t="str">
        <f t="shared" si="25"/>
        <v/>
      </c>
      <c r="I60" t="str">
        <f t="shared" si="26"/>
        <v/>
      </c>
      <c r="J60" s="50"/>
      <c r="K60" s="51">
        <v>39</v>
      </c>
      <c r="L60" s="51" t="str">
        <f>COMPUTER!P47</f>
        <v/>
      </c>
      <c r="M60" s="52" t="e">
        <f t="shared" si="5"/>
        <v>#N/A</v>
      </c>
      <c r="AX60">
        <v>45</v>
      </c>
      <c r="AY60" t="e">
        <f>IF($H$43="3",M66,COMPUTER!P53)</f>
        <v>#N/A</v>
      </c>
      <c r="BC60">
        <v>45</v>
      </c>
      <c r="BD60" t="e">
        <f>IF(IF($B$43="Execute",M66,COMPUTER!P53)=0,"",IF(AND($H$43="3",$B$43="Execute"),M66,COMPUTER!P53))</f>
        <v>#N/A</v>
      </c>
      <c r="BK60" s="15"/>
      <c r="BL60" s="15"/>
    </row>
    <row r="61" spans="1:65">
      <c r="A61">
        <v>16</v>
      </c>
      <c r="B61">
        <f t="shared" si="32"/>
        <v>10</v>
      </c>
      <c r="C61" t="s">
        <v>73</v>
      </c>
      <c r="D61" t="str">
        <f>VLOOKUP(B61,COMPUTER!$M$8:$P$48,4,FALSE)&amp;VLOOKUP(B61+1,COMPUTER!$M$8:$P$48,4,FALSE)</f>
        <v/>
      </c>
      <c r="E61" t="str">
        <f t="shared" si="22"/>
        <v/>
      </c>
      <c r="F61" t="str">
        <f t="shared" si="23"/>
        <v/>
      </c>
      <c r="G61" t="str">
        <f t="shared" si="24"/>
        <v/>
      </c>
      <c r="H61" t="str">
        <f t="shared" si="25"/>
        <v/>
      </c>
      <c r="I61" t="str">
        <f t="shared" si="26"/>
        <v/>
      </c>
      <c r="J61" s="50"/>
      <c r="K61" s="51">
        <v>40</v>
      </c>
      <c r="L61" s="51">
        <f>COMPUTER!P48</f>
        <v>0</v>
      </c>
      <c r="M61" s="52" t="e">
        <f t="shared" si="5"/>
        <v>#N/A</v>
      </c>
      <c r="AX61">
        <v>46</v>
      </c>
      <c r="AY61" t="e">
        <f>IF($H$43="3",M67,COMPUTER!P54)</f>
        <v>#N/A</v>
      </c>
      <c r="BC61">
        <v>46</v>
      </c>
      <c r="BD61" t="e">
        <f>IF(IF($B$43="Execute",M67,COMPUTER!P54)=0,"",IF(AND($H$43="3",$B$43="Execute"),M67,COMPUTER!P54))</f>
        <v>#N/A</v>
      </c>
      <c r="BK61" s="15"/>
      <c r="BL61" s="15"/>
    </row>
    <row r="62" spans="1:65">
      <c r="A62">
        <v>17</v>
      </c>
      <c r="B62">
        <f t="shared" si="32"/>
        <v>10</v>
      </c>
      <c r="C62" t="s">
        <v>74</v>
      </c>
      <c r="D62" t="str">
        <f>VLOOKUP(B62,COMPUTER!$M$8:$P$48,4,FALSE)&amp;VLOOKUP(B62+1,COMPUTER!$M$8:$P$48,4,FALSE)</f>
        <v/>
      </c>
      <c r="E62" t="str">
        <f t="shared" si="22"/>
        <v/>
      </c>
      <c r="F62" t="str">
        <f t="shared" si="23"/>
        <v/>
      </c>
      <c r="G62" t="str">
        <f t="shared" si="24"/>
        <v/>
      </c>
      <c r="H62" t="str">
        <f t="shared" si="25"/>
        <v/>
      </c>
      <c r="I62" t="str">
        <f t="shared" si="26"/>
        <v/>
      </c>
      <c r="J62" s="50"/>
      <c r="K62" s="51">
        <v>41</v>
      </c>
      <c r="L62" s="51">
        <f>COMPUTER!P49</f>
        <v>0</v>
      </c>
      <c r="M62" s="52" t="e">
        <f t="shared" si="5"/>
        <v>#N/A</v>
      </c>
      <c r="AX62">
        <v>47</v>
      </c>
      <c r="AY62" t="e">
        <f>IF($H$43="3",M68,COMPUTER!P55)</f>
        <v>#N/A</v>
      </c>
      <c r="BC62">
        <v>47</v>
      </c>
      <c r="BD62" t="e">
        <f>IF(IF($B$43="Execute",M68,COMPUTER!P55)=0,"",IF(AND($H$43="3",$B$43="Execute"),M68,COMPUTER!P55))</f>
        <v>#N/A</v>
      </c>
      <c r="BK62" s="15"/>
      <c r="BL62" s="15"/>
    </row>
    <row r="63" spans="1:65">
      <c r="A63">
        <v>18</v>
      </c>
      <c r="B63">
        <f t="shared" si="32"/>
        <v>10</v>
      </c>
      <c r="C63" t="s">
        <v>75</v>
      </c>
      <c r="D63" t="str">
        <f>VLOOKUP(B63,COMPUTER!$M$8:$P$48,4,FALSE)&amp;VLOOKUP(B63+1,COMPUTER!$M$8:$P$48,4,FALSE)</f>
        <v/>
      </c>
      <c r="E63" t="str">
        <f t="shared" si="22"/>
        <v/>
      </c>
      <c r="F63" t="str">
        <f t="shared" si="23"/>
        <v/>
      </c>
      <c r="G63" t="str">
        <f t="shared" si="24"/>
        <v/>
      </c>
      <c r="H63" t="str">
        <f t="shared" si="25"/>
        <v/>
      </c>
      <c r="I63" t="str">
        <f t="shared" si="26"/>
        <v/>
      </c>
      <c r="J63" s="50"/>
      <c r="K63" s="51">
        <v>42</v>
      </c>
      <c r="L63" s="51">
        <f>COMPUTER!P50</f>
        <v>0</v>
      </c>
      <c r="M63" s="52" t="e">
        <f t="shared" si="5"/>
        <v>#N/A</v>
      </c>
      <c r="AX63">
        <v>48</v>
      </c>
      <c r="AY63" t="e">
        <f>IF($H$43="3",M69,COMPUTER!P56)</f>
        <v>#N/A</v>
      </c>
      <c r="BC63">
        <v>48</v>
      </c>
      <c r="BD63" t="e">
        <f>IF(IF($B$43="Execute",M69,COMPUTER!P56)=0,"",IF(AND($H$43="3",$B$43="Execute"),M69,COMPUTER!P56))</f>
        <v>#N/A</v>
      </c>
      <c r="BK63" s="15"/>
      <c r="BL63" s="15"/>
    </row>
    <row r="64" spans="1:65">
      <c r="A64">
        <v>19</v>
      </c>
      <c r="B64">
        <f t="shared" si="32"/>
        <v>12</v>
      </c>
      <c r="C64" t="s">
        <v>73</v>
      </c>
      <c r="D64" t="str">
        <f>VLOOKUP(B64,COMPUTER!$M$8:$P$48,4,FALSE)&amp;VLOOKUP(B64+1,COMPUTER!$M$8:$P$48,4,FALSE)</f>
        <v/>
      </c>
      <c r="E64" t="str">
        <f t="shared" si="22"/>
        <v/>
      </c>
      <c r="F64" t="str">
        <f t="shared" si="23"/>
        <v/>
      </c>
      <c r="G64" t="str">
        <f t="shared" si="24"/>
        <v/>
      </c>
      <c r="H64" t="str">
        <f t="shared" si="25"/>
        <v/>
      </c>
      <c r="I64" t="str">
        <f t="shared" si="26"/>
        <v/>
      </c>
      <c r="J64" s="50"/>
      <c r="K64" s="51">
        <v>43</v>
      </c>
      <c r="L64" s="51">
        <f>COMPUTER!P51</f>
        <v>0</v>
      </c>
      <c r="M64" s="52" t="e">
        <f t="shared" si="5"/>
        <v>#N/A</v>
      </c>
      <c r="AX64">
        <v>49</v>
      </c>
      <c r="AY64" t="e">
        <f>IF($H$43="3",M70,COMPUTER!P57)</f>
        <v>#N/A</v>
      </c>
      <c r="BC64">
        <v>49</v>
      </c>
      <c r="BD64" t="e">
        <f>IF(IF($B$43="Execute",M70,COMPUTER!P57)=0,"",IF(AND($H$43="3",$B$43="Execute"),M70,COMPUTER!P57))</f>
        <v>#N/A</v>
      </c>
      <c r="BK64" s="15"/>
      <c r="BL64" s="15"/>
    </row>
    <row r="65" spans="1:64">
      <c r="A65">
        <v>20</v>
      </c>
      <c r="B65">
        <f t="shared" si="32"/>
        <v>12</v>
      </c>
      <c r="C65" t="s">
        <v>74</v>
      </c>
      <c r="D65" t="str">
        <f>VLOOKUP(B65,COMPUTER!$M$8:$P$48,4,FALSE)&amp;VLOOKUP(B65+1,COMPUTER!$M$8:$P$48,4,FALSE)</f>
        <v/>
      </c>
      <c r="E65" t="str">
        <f t="shared" si="22"/>
        <v/>
      </c>
      <c r="F65" t="str">
        <f t="shared" si="23"/>
        <v/>
      </c>
      <c r="G65" t="str">
        <f t="shared" si="24"/>
        <v/>
      </c>
      <c r="H65" t="str">
        <f t="shared" si="25"/>
        <v/>
      </c>
      <c r="I65" t="str">
        <f t="shared" si="26"/>
        <v/>
      </c>
      <c r="J65" s="50"/>
      <c r="K65" s="51">
        <v>44</v>
      </c>
      <c r="L65" s="51">
        <f>COMPUTER!P52</f>
        <v>0</v>
      </c>
      <c r="M65" s="52" t="e">
        <f t="shared" si="5"/>
        <v>#N/A</v>
      </c>
      <c r="AX65">
        <v>50</v>
      </c>
      <c r="AY65" t="e">
        <f>IF($H$43="3",M71,COMPUTER!P58)</f>
        <v>#N/A</v>
      </c>
      <c r="BC65">
        <v>50</v>
      </c>
      <c r="BD65" t="e">
        <f>IF(IF($B$43="Execute",M71,COMPUTER!P58)=0,"",IF(AND($H$43="3",$B$43="Execute"),M71,COMPUTER!P58))</f>
        <v>#N/A</v>
      </c>
      <c r="BK65" s="15"/>
      <c r="BL65" s="15"/>
    </row>
    <row r="66" spans="1:64">
      <c r="A66">
        <v>21</v>
      </c>
      <c r="B66">
        <f t="shared" si="32"/>
        <v>12</v>
      </c>
      <c r="C66" t="s">
        <v>75</v>
      </c>
      <c r="D66" t="str">
        <f>VLOOKUP(B66,COMPUTER!$M$8:$P$48,4,FALSE)&amp;VLOOKUP(B66+1,COMPUTER!$M$8:$P$48,4,FALSE)</f>
        <v/>
      </c>
      <c r="E66" t="str">
        <f t="shared" si="22"/>
        <v/>
      </c>
      <c r="F66" t="str">
        <f t="shared" si="23"/>
        <v/>
      </c>
      <c r="G66" t="str">
        <f t="shared" si="24"/>
        <v/>
      </c>
      <c r="H66" t="str">
        <f t="shared" si="25"/>
        <v/>
      </c>
      <c r="I66" t="str">
        <f t="shared" si="26"/>
        <v/>
      </c>
      <c r="J66" s="50"/>
      <c r="K66" s="51">
        <v>45</v>
      </c>
      <c r="L66" s="51">
        <f>COMPUTER!P53</f>
        <v>0</v>
      </c>
      <c r="M66" s="52" t="e">
        <f t="shared" si="5"/>
        <v>#N/A</v>
      </c>
      <c r="AX66">
        <v>51</v>
      </c>
      <c r="AY66" t="e">
        <f>IF($H$43="3",M72,COMPUTER!P59)</f>
        <v>#N/A</v>
      </c>
      <c r="BC66">
        <v>51</v>
      </c>
      <c r="BD66" t="e">
        <f>IF(IF($B$43="Execute",M72,COMPUTER!P59)=0,"",IF(AND($H$43="3",$B$43="Execute"),M72,COMPUTER!P59))</f>
        <v>#N/A</v>
      </c>
      <c r="BK66" s="15"/>
      <c r="BL66" s="15"/>
    </row>
    <row r="67" spans="1:64">
      <c r="A67">
        <v>22</v>
      </c>
      <c r="B67">
        <f t="shared" si="32"/>
        <v>14</v>
      </c>
      <c r="C67" t="s">
        <v>73</v>
      </c>
      <c r="D67" t="str">
        <f>VLOOKUP(B67,COMPUTER!$M$8:$P$48,4,FALSE)&amp;VLOOKUP(B67+1,COMPUTER!$M$8:$P$48,4,FALSE)</f>
        <v/>
      </c>
      <c r="E67" t="str">
        <f t="shared" si="22"/>
        <v/>
      </c>
      <c r="F67" t="str">
        <f t="shared" si="23"/>
        <v/>
      </c>
      <c r="G67" t="str">
        <f t="shared" si="24"/>
        <v/>
      </c>
      <c r="H67" t="str">
        <f t="shared" si="25"/>
        <v/>
      </c>
      <c r="I67" t="str">
        <f t="shared" si="26"/>
        <v/>
      </c>
      <c r="J67" s="50"/>
      <c r="K67" s="51">
        <v>46</v>
      </c>
      <c r="L67" s="51">
        <f>COMPUTER!P54</f>
        <v>0</v>
      </c>
      <c r="M67" s="52" t="e">
        <f t="shared" si="5"/>
        <v>#N/A</v>
      </c>
      <c r="AX67">
        <v>52</v>
      </c>
      <c r="AY67" t="e">
        <f>IF($H$43="3",M73,COMPUTER!P60)</f>
        <v>#N/A</v>
      </c>
      <c r="BC67">
        <v>52</v>
      </c>
      <c r="BD67" t="e">
        <f>IF(IF($B$43="Execute",M73,COMPUTER!P60)=0,"",IF(AND($H$43="3",$B$43="Execute"),M73,COMPUTER!P60))</f>
        <v>#N/A</v>
      </c>
      <c r="BK67" s="15"/>
      <c r="BL67" s="15"/>
    </row>
    <row r="68" spans="1:64">
      <c r="A68">
        <v>23</v>
      </c>
      <c r="B68">
        <f t="shared" si="32"/>
        <v>14</v>
      </c>
      <c r="C68" t="s">
        <v>74</v>
      </c>
      <c r="D68" t="str">
        <f>VLOOKUP(B68,COMPUTER!$M$8:$P$48,4,FALSE)&amp;VLOOKUP(B68+1,COMPUTER!$M$8:$P$48,4,FALSE)</f>
        <v/>
      </c>
      <c r="E68" t="str">
        <f t="shared" si="22"/>
        <v/>
      </c>
      <c r="F68" t="str">
        <f t="shared" si="23"/>
        <v/>
      </c>
      <c r="G68" t="str">
        <f t="shared" si="24"/>
        <v/>
      </c>
      <c r="H68" t="str">
        <f t="shared" si="25"/>
        <v/>
      </c>
      <c r="I68" t="str">
        <f t="shared" si="26"/>
        <v/>
      </c>
      <c r="J68" s="50"/>
      <c r="K68" s="51">
        <v>47</v>
      </c>
      <c r="L68" s="51">
        <f>COMPUTER!P55</f>
        <v>0</v>
      </c>
      <c r="M68" s="52" t="e">
        <f t="shared" si="5"/>
        <v>#N/A</v>
      </c>
      <c r="AX68">
        <v>53</v>
      </c>
      <c r="AY68" t="e">
        <f>IF($H$43="3",M74,COMPUTER!P61)</f>
        <v>#N/A</v>
      </c>
      <c r="BC68">
        <v>53</v>
      </c>
      <c r="BD68" t="e">
        <f>IF(IF($B$43="Execute",M74,COMPUTER!P61)=0,"",IF(AND($H$43="3",$B$43="Execute"),M74,COMPUTER!P61))</f>
        <v>#N/A</v>
      </c>
      <c r="BK68" s="15"/>
      <c r="BL68" s="15"/>
    </row>
    <row r="69" spans="1:64">
      <c r="A69">
        <v>24</v>
      </c>
      <c r="B69">
        <f t="shared" si="32"/>
        <v>14</v>
      </c>
      <c r="C69" t="s">
        <v>75</v>
      </c>
      <c r="D69" t="str">
        <f>VLOOKUP(B69,COMPUTER!$M$8:$P$48,4,FALSE)&amp;VLOOKUP(B69+1,COMPUTER!$M$8:$P$48,4,FALSE)</f>
        <v/>
      </c>
      <c r="E69" t="str">
        <f t="shared" si="22"/>
        <v/>
      </c>
      <c r="F69" t="str">
        <f t="shared" si="23"/>
        <v/>
      </c>
      <c r="G69" t="str">
        <f t="shared" si="24"/>
        <v/>
      </c>
      <c r="H69" t="str">
        <f t="shared" si="25"/>
        <v/>
      </c>
      <c r="I69" t="str">
        <f t="shared" si="26"/>
        <v/>
      </c>
      <c r="J69" s="50"/>
      <c r="K69" s="51">
        <v>48</v>
      </c>
      <c r="L69" s="51">
        <f>COMPUTER!P56</f>
        <v>0</v>
      </c>
      <c r="M69" s="52" t="e">
        <f t="shared" si="5"/>
        <v>#N/A</v>
      </c>
      <c r="AX69">
        <v>54</v>
      </c>
      <c r="AY69" t="e">
        <f>IF($H$43="3",M75,COMPUTER!P62)</f>
        <v>#N/A</v>
      </c>
      <c r="BC69">
        <v>54</v>
      </c>
      <c r="BD69" t="e">
        <f>IF(IF($B$43="Execute",M75,COMPUTER!P62)=0,"",IF(AND($H$43="3",$B$43="Execute"),M75,COMPUTER!P62))</f>
        <v>#N/A</v>
      </c>
      <c r="BK69" s="15"/>
      <c r="BL69" s="15"/>
    </row>
    <row r="70" spans="1:64">
      <c r="A70">
        <v>25</v>
      </c>
      <c r="B70">
        <f t="shared" si="32"/>
        <v>16</v>
      </c>
      <c r="C70" t="s">
        <v>73</v>
      </c>
      <c r="D70" t="str">
        <f>VLOOKUP(B70,COMPUTER!$M$8:$P$48,4,FALSE)&amp;VLOOKUP(B70+1,COMPUTER!$M$8:$P$48,4,FALSE)</f>
        <v/>
      </c>
      <c r="E70" t="str">
        <f t="shared" si="22"/>
        <v/>
      </c>
      <c r="F70" t="str">
        <f t="shared" si="23"/>
        <v/>
      </c>
      <c r="G70" t="str">
        <f t="shared" si="24"/>
        <v/>
      </c>
      <c r="H70" t="str">
        <f t="shared" si="25"/>
        <v/>
      </c>
      <c r="I70" t="str">
        <f t="shared" si="26"/>
        <v/>
      </c>
      <c r="J70" s="50"/>
      <c r="K70" s="51">
        <v>49</v>
      </c>
      <c r="L70" s="51">
        <f>COMPUTER!P57</f>
        <v>0</v>
      </c>
      <c r="M70" s="52" t="e">
        <f t="shared" si="5"/>
        <v>#N/A</v>
      </c>
      <c r="AX70">
        <v>55</v>
      </c>
      <c r="AY70" t="e">
        <f>IF($H$43="3",M76,COMPUTER!P63)</f>
        <v>#N/A</v>
      </c>
      <c r="BC70">
        <v>55</v>
      </c>
      <c r="BD70" t="e">
        <f>IF(IF($B$43="Execute",M76,COMPUTER!P63)=0,"",IF(AND($H$43="3",$B$43="Execute"),M76,COMPUTER!P63))</f>
        <v>#N/A</v>
      </c>
      <c r="BK70" s="15"/>
      <c r="BL70" s="15"/>
    </row>
    <row r="71" spans="1:64">
      <c r="A71">
        <v>26</v>
      </c>
      <c r="B71">
        <f t="shared" si="32"/>
        <v>16</v>
      </c>
      <c r="C71" t="s">
        <v>74</v>
      </c>
      <c r="D71" t="str">
        <f>VLOOKUP(B71,COMPUTER!$M$8:$P$48,4,FALSE)&amp;VLOOKUP(B71+1,COMPUTER!$M$8:$P$48,4,FALSE)</f>
        <v/>
      </c>
      <c r="E71" t="str">
        <f t="shared" si="22"/>
        <v/>
      </c>
      <c r="F71" t="str">
        <f t="shared" si="23"/>
        <v/>
      </c>
      <c r="G71" t="str">
        <f t="shared" si="24"/>
        <v/>
      </c>
      <c r="H71" t="str">
        <f t="shared" si="25"/>
        <v/>
      </c>
      <c r="I71" t="str">
        <f t="shared" si="26"/>
        <v/>
      </c>
      <c r="J71" s="50"/>
      <c r="K71" s="51">
        <v>50</v>
      </c>
      <c r="L71" s="51">
        <f>COMPUTER!P58</f>
        <v>0</v>
      </c>
      <c r="M71" s="52" t="e">
        <f t="shared" si="5"/>
        <v>#N/A</v>
      </c>
      <c r="AX71">
        <v>56</v>
      </c>
      <c r="AY71" t="e">
        <f>IF($H$43="3",M77,COMPUTER!P64)</f>
        <v>#N/A</v>
      </c>
      <c r="BC71">
        <v>56</v>
      </c>
      <c r="BD71" t="e">
        <f>IF(IF($B$43="Execute",M77,COMPUTER!P64)=0,"",IF(AND($H$43="3",$B$43="Execute"),M77,COMPUTER!P64))</f>
        <v>#N/A</v>
      </c>
      <c r="BK71" s="15"/>
      <c r="BL71" s="15"/>
    </row>
    <row r="72" spans="1:64">
      <c r="A72">
        <v>27</v>
      </c>
      <c r="B72">
        <f t="shared" si="32"/>
        <v>16</v>
      </c>
      <c r="C72" t="s">
        <v>75</v>
      </c>
      <c r="D72" t="str">
        <f>VLOOKUP(B72,COMPUTER!$M$8:$P$48,4,FALSE)&amp;VLOOKUP(B72+1,COMPUTER!$M$8:$P$48,4,FALSE)</f>
        <v/>
      </c>
      <c r="E72" t="str">
        <f t="shared" si="22"/>
        <v/>
      </c>
      <c r="F72" t="str">
        <f t="shared" si="23"/>
        <v/>
      </c>
      <c r="G72" t="str">
        <f t="shared" si="24"/>
        <v/>
      </c>
      <c r="H72" t="str">
        <f t="shared" si="25"/>
        <v/>
      </c>
      <c r="I72" t="str">
        <f t="shared" si="26"/>
        <v/>
      </c>
      <c r="J72" s="50"/>
      <c r="K72" s="51">
        <v>51</v>
      </c>
      <c r="L72" s="51">
        <f>COMPUTER!P59</f>
        <v>0</v>
      </c>
      <c r="M72" s="52" t="e">
        <f t="shared" si="5"/>
        <v>#N/A</v>
      </c>
      <c r="AX72">
        <v>57</v>
      </c>
      <c r="AY72" t="e">
        <f>IF($H$43="3",M78,COMPUTER!P65)</f>
        <v>#N/A</v>
      </c>
      <c r="BC72">
        <v>57</v>
      </c>
      <c r="BD72" t="e">
        <f>IF(IF($B$43="Execute",M78,COMPUTER!P65)=0,"",IF(AND($H$43="3",$B$43="Execute"),M78,COMPUTER!P65))</f>
        <v>#N/A</v>
      </c>
      <c r="BK72" s="15"/>
      <c r="BL72" s="15"/>
    </row>
    <row r="73" spans="1:64">
      <c r="A73">
        <v>28</v>
      </c>
      <c r="B73">
        <f t="shared" si="32"/>
        <v>18</v>
      </c>
      <c r="C73" t="s">
        <v>73</v>
      </c>
      <c r="D73" t="str">
        <f>VLOOKUP(B73,COMPUTER!$M$8:$P$48,4,FALSE)&amp;VLOOKUP(B73+1,COMPUTER!$M$8:$P$48,4,FALSE)</f>
        <v/>
      </c>
      <c r="E73" t="str">
        <f t="shared" si="22"/>
        <v/>
      </c>
      <c r="F73" t="str">
        <f t="shared" si="23"/>
        <v/>
      </c>
      <c r="G73" t="str">
        <f t="shared" si="24"/>
        <v/>
      </c>
      <c r="H73" t="str">
        <f t="shared" si="25"/>
        <v/>
      </c>
      <c r="I73" t="str">
        <f t="shared" si="26"/>
        <v/>
      </c>
      <c r="J73" s="50"/>
      <c r="K73" s="51">
        <v>52</v>
      </c>
      <c r="L73" s="51">
        <f>COMPUTER!P60</f>
        <v>0</v>
      </c>
      <c r="M73" s="52" t="e">
        <f t="shared" si="5"/>
        <v>#N/A</v>
      </c>
      <c r="AX73">
        <v>58</v>
      </c>
      <c r="AY73" t="e">
        <f>IF($H$43="3",M79,COMPUTER!P66)</f>
        <v>#N/A</v>
      </c>
      <c r="BC73">
        <v>58</v>
      </c>
      <c r="BD73" t="e">
        <f>IF(IF($B$43="Execute",M79,COMPUTER!P66)=0,"",IF(AND($H$43="3",$B$43="Execute"),M79,COMPUTER!P66))</f>
        <v>#N/A</v>
      </c>
      <c r="BK73" s="15"/>
      <c r="BL73" s="15"/>
    </row>
    <row r="74" spans="1:64">
      <c r="A74">
        <v>29</v>
      </c>
      <c r="B74">
        <f t="shared" si="32"/>
        <v>18</v>
      </c>
      <c r="C74" t="s">
        <v>74</v>
      </c>
      <c r="D74" t="str">
        <f>VLOOKUP(B74,COMPUTER!$M$8:$P$48,4,FALSE)&amp;VLOOKUP(B74+1,COMPUTER!$M$8:$P$48,4,FALSE)</f>
        <v/>
      </c>
      <c r="E74" t="str">
        <f t="shared" si="22"/>
        <v/>
      </c>
      <c r="F74" t="str">
        <f t="shared" si="23"/>
        <v/>
      </c>
      <c r="G74" t="str">
        <f t="shared" si="24"/>
        <v/>
      </c>
      <c r="H74" t="str">
        <f t="shared" si="25"/>
        <v/>
      </c>
      <c r="I74" t="str">
        <f t="shared" si="26"/>
        <v/>
      </c>
      <c r="J74" s="50"/>
      <c r="K74" s="51">
        <v>53</v>
      </c>
      <c r="L74" s="51">
        <f>COMPUTER!P61</f>
        <v>0</v>
      </c>
      <c r="M74" s="52" t="e">
        <f t="shared" si="5"/>
        <v>#N/A</v>
      </c>
      <c r="AX74">
        <v>59</v>
      </c>
      <c r="AY74" t="e">
        <f>IF($H$43="3",M80,COMPUTER!P67)</f>
        <v>#N/A</v>
      </c>
      <c r="BC74">
        <v>59</v>
      </c>
      <c r="BD74" t="e">
        <f>IF(IF($B$43="Execute",M80,COMPUTER!P67)=0,"",IF(AND($H$43="3",$B$43="Execute"),M80,COMPUTER!P67))</f>
        <v>#N/A</v>
      </c>
      <c r="BK74" s="15"/>
      <c r="BL74" s="15"/>
    </row>
    <row r="75" spans="1:64">
      <c r="A75">
        <v>30</v>
      </c>
      <c r="B75">
        <f t="shared" si="32"/>
        <v>18</v>
      </c>
      <c r="C75" t="s">
        <v>75</v>
      </c>
      <c r="D75" t="str">
        <f>VLOOKUP(B75,COMPUTER!$M$8:$P$48,4,FALSE)&amp;VLOOKUP(B75+1,COMPUTER!$M$8:$P$48,4,FALSE)</f>
        <v/>
      </c>
      <c r="E75" t="str">
        <f t="shared" si="22"/>
        <v/>
      </c>
      <c r="F75" t="str">
        <f t="shared" si="23"/>
        <v/>
      </c>
      <c r="G75" t="str">
        <f t="shared" si="24"/>
        <v/>
      </c>
      <c r="H75" t="str">
        <f t="shared" si="25"/>
        <v/>
      </c>
      <c r="I75" t="str">
        <f t="shared" si="26"/>
        <v/>
      </c>
      <c r="J75" s="50"/>
      <c r="K75" s="51">
        <v>54</v>
      </c>
      <c r="L75" s="51">
        <f>COMPUTER!P62</f>
        <v>0</v>
      </c>
      <c r="M75" s="52" t="e">
        <f t="shared" si="5"/>
        <v>#N/A</v>
      </c>
      <c r="AX75">
        <v>60</v>
      </c>
      <c r="AY75" t="e">
        <f>IF($H$43="3",M81,COMPUTER!P68)</f>
        <v>#N/A</v>
      </c>
      <c r="BC75">
        <v>60</v>
      </c>
      <c r="BD75" t="e">
        <f>IF(IF($B$43="Execute",M81,COMPUTER!P68)=0,"",IF(AND($H$43="3",$B$43="Execute"),M81,COMPUTER!P68))</f>
        <v>#N/A</v>
      </c>
      <c r="BK75" s="15"/>
      <c r="BL75" s="15"/>
    </row>
    <row r="76" spans="1:64">
      <c r="A76">
        <v>31</v>
      </c>
      <c r="B76">
        <f t="shared" si="32"/>
        <v>20</v>
      </c>
      <c r="C76" t="s">
        <v>73</v>
      </c>
      <c r="D76" t="str">
        <f>VLOOKUP(B76,COMPUTER!$M$8:$P$48,4,FALSE)&amp;VLOOKUP(B76+1,COMPUTER!$M$8:$P$48,4,FALSE)</f>
        <v/>
      </c>
      <c r="E76" t="str">
        <f t="shared" si="22"/>
        <v/>
      </c>
      <c r="F76" t="str">
        <f t="shared" si="23"/>
        <v/>
      </c>
      <c r="G76" t="str">
        <f t="shared" si="24"/>
        <v/>
      </c>
      <c r="H76" t="str">
        <f t="shared" si="25"/>
        <v/>
      </c>
      <c r="I76" t="str">
        <f t="shared" si="26"/>
        <v/>
      </c>
      <c r="J76" s="50"/>
      <c r="K76" s="51">
        <v>55</v>
      </c>
      <c r="L76" s="51">
        <f>COMPUTER!P63</f>
        <v>0</v>
      </c>
      <c r="M76" s="52" t="e">
        <f t="shared" si="5"/>
        <v>#N/A</v>
      </c>
      <c r="AX76">
        <v>61</v>
      </c>
      <c r="AY76" t="e">
        <f>IF($H$43="3",M82,COMPUTER!P69)</f>
        <v>#N/A</v>
      </c>
      <c r="BC76">
        <v>61</v>
      </c>
      <c r="BD76" t="e">
        <f>IF(IF($B$43="Execute",M82,COMPUTER!P69)=0,"",IF(AND($H$43="3",$B$43="Execute"),M82,COMPUTER!P69))</f>
        <v>#N/A</v>
      </c>
      <c r="BK76" s="15"/>
      <c r="BL76" s="15"/>
    </row>
    <row r="77" spans="1:64">
      <c r="A77">
        <v>32</v>
      </c>
      <c r="B77">
        <f t="shared" si="32"/>
        <v>20</v>
      </c>
      <c r="C77" t="s">
        <v>74</v>
      </c>
      <c r="D77" t="str">
        <f>VLOOKUP(B77,COMPUTER!$M$8:$P$48,4,FALSE)&amp;VLOOKUP(B77+1,COMPUTER!$M$8:$P$48,4,FALSE)</f>
        <v/>
      </c>
      <c r="E77" t="str">
        <f t="shared" si="22"/>
        <v/>
      </c>
      <c r="F77" t="str">
        <f t="shared" si="23"/>
        <v/>
      </c>
      <c r="G77" t="str">
        <f t="shared" si="24"/>
        <v/>
      </c>
      <c r="H77" t="str">
        <f t="shared" si="25"/>
        <v/>
      </c>
      <c r="I77" t="str">
        <f t="shared" si="26"/>
        <v/>
      </c>
      <c r="J77" s="50"/>
      <c r="K77" s="51">
        <v>56</v>
      </c>
      <c r="L77" s="51">
        <f>COMPUTER!P64</f>
        <v>0</v>
      </c>
      <c r="M77" s="52" t="e">
        <f t="shared" si="5"/>
        <v>#N/A</v>
      </c>
      <c r="AX77">
        <v>62</v>
      </c>
      <c r="AY77" t="e">
        <f>IF($H$43="3",M83,COMPUTER!P70)</f>
        <v>#N/A</v>
      </c>
      <c r="BC77">
        <v>62</v>
      </c>
      <c r="BD77" t="e">
        <f>IF(IF($B$43="Execute",M83,COMPUTER!P70)=0,"",IF(AND($H$43="3",$B$43="Execute"),M83,COMPUTER!P70))</f>
        <v>#N/A</v>
      </c>
      <c r="BK77" s="15"/>
      <c r="BL77" s="15"/>
    </row>
    <row r="78" spans="1:64">
      <c r="A78">
        <v>33</v>
      </c>
      <c r="B78">
        <f t="shared" si="32"/>
        <v>20</v>
      </c>
      <c r="C78" t="s">
        <v>75</v>
      </c>
      <c r="D78" t="str">
        <f>VLOOKUP(B78,COMPUTER!$M$8:$P$48,4,FALSE)&amp;VLOOKUP(B78+1,COMPUTER!$M$8:$P$48,4,FALSE)</f>
        <v/>
      </c>
      <c r="E78" t="str">
        <f t="shared" si="22"/>
        <v/>
      </c>
      <c r="F78" t="str">
        <f t="shared" si="23"/>
        <v/>
      </c>
      <c r="G78" t="str">
        <f t="shared" si="24"/>
        <v/>
      </c>
      <c r="H78" t="str">
        <f t="shared" si="25"/>
        <v/>
      </c>
      <c r="I78" t="str">
        <f t="shared" si="26"/>
        <v/>
      </c>
      <c r="J78" s="50"/>
      <c r="K78" s="51">
        <v>57</v>
      </c>
      <c r="L78" s="51">
        <f>COMPUTER!P65</f>
        <v>0</v>
      </c>
      <c r="M78" s="52" t="e">
        <f t="shared" si="5"/>
        <v>#N/A</v>
      </c>
      <c r="AX78">
        <v>63</v>
      </c>
      <c r="AY78" t="e">
        <f>IF($H$43="3",M84,COMPUTER!P71)</f>
        <v>#N/A</v>
      </c>
      <c r="BC78">
        <v>63</v>
      </c>
      <c r="BD78" t="e">
        <f>IF(IF($B$43="Execute",M84,COMPUTER!P71)=0,"",IF(AND($H$43="3",$B$43="Execute"),M84,COMPUTER!P71))</f>
        <v>#N/A</v>
      </c>
      <c r="BK78" s="15"/>
      <c r="BL78" s="15"/>
    </row>
    <row r="79" spans="1:64">
      <c r="A79">
        <v>34</v>
      </c>
      <c r="B79">
        <f t="shared" si="32"/>
        <v>22</v>
      </c>
      <c r="C79" t="s">
        <v>73</v>
      </c>
      <c r="D79" t="str">
        <f>VLOOKUP(B79,COMPUTER!$M$8:$P$48,4,FALSE)&amp;VLOOKUP(B79+1,COMPUTER!$M$8:$P$48,4,FALSE)</f>
        <v/>
      </c>
      <c r="E79" t="str">
        <f t="shared" si="22"/>
        <v/>
      </c>
      <c r="F79" t="str">
        <f t="shared" si="23"/>
        <v/>
      </c>
      <c r="G79" t="str">
        <f t="shared" si="24"/>
        <v/>
      </c>
      <c r="H79" t="str">
        <f t="shared" si="25"/>
        <v/>
      </c>
      <c r="I79" t="str">
        <f t="shared" si="26"/>
        <v/>
      </c>
      <c r="J79" s="50"/>
      <c r="K79" s="51">
        <v>58</v>
      </c>
      <c r="L79" s="51">
        <f>COMPUTER!P66</f>
        <v>0</v>
      </c>
      <c r="M79" s="52" t="e">
        <f t="shared" si="5"/>
        <v>#N/A</v>
      </c>
      <c r="AX79">
        <v>64</v>
      </c>
      <c r="AY79" t="e">
        <f>IF($H$43="3",M85,COMPUTER!P72)</f>
        <v>#N/A</v>
      </c>
      <c r="BC79">
        <v>64</v>
      </c>
      <c r="BD79" t="e">
        <f>IF(IF($B$43="Execute",M85,COMPUTER!P72)=0,"",IF(AND($H$43="3",$B$43="Execute"),M85,COMPUTER!P72))</f>
        <v>#N/A</v>
      </c>
      <c r="BK79" s="15"/>
      <c r="BL79" s="15"/>
    </row>
    <row r="80" spans="1:64">
      <c r="A80">
        <v>35</v>
      </c>
      <c r="B80">
        <f t="shared" si="32"/>
        <v>22</v>
      </c>
      <c r="C80" t="s">
        <v>74</v>
      </c>
      <c r="D80" t="str">
        <f>VLOOKUP(B80,COMPUTER!$M$8:$P$48,4,FALSE)&amp;VLOOKUP(B80+1,COMPUTER!$M$8:$P$48,4,FALSE)</f>
        <v/>
      </c>
      <c r="E80" t="str">
        <f t="shared" si="22"/>
        <v/>
      </c>
      <c r="F80" t="str">
        <f t="shared" si="23"/>
        <v/>
      </c>
      <c r="G80" t="str">
        <f t="shared" si="24"/>
        <v/>
      </c>
      <c r="H80" t="str">
        <f t="shared" si="25"/>
        <v/>
      </c>
      <c r="I80" t="str">
        <f t="shared" si="26"/>
        <v/>
      </c>
      <c r="J80" s="50"/>
      <c r="K80" s="51">
        <v>59</v>
      </c>
      <c r="L80" s="51">
        <f>COMPUTER!P67</f>
        <v>0</v>
      </c>
      <c r="M80" s="52" t="e">
        <f t="shared" si="5"/>
        <v>#N/A</v>
      </c>
      <c r="AX80">
        <v>65</v>
      </c>
      <c r="AY80" t="e">
        <f>IF($H$43="3",M86,COMPUTER!P73)</f>
        <v>#N/A</v>
      </c>
      <c r="BC80">
        <v>65</v>
      </c>
      <c r="BD80" t="e">
        <f>IF(IF($B$43="Execute",M86,COMPUTER!P73)=0,"",IF(AND($H$43="3",$B$43="Execute"),M86,COMPUTER!P73))</f>
        <v>#N/A</v>
      </c>
      <c r="BK80" s="15"/>
      <c r="BL80" s="15"/>
    </row>
    <row r="81" spans="1:64">
      <c r="A81">
        <v>36</v>
      </c>
      <c r="B81">
        <f t="shared" si="32"/>
        <v>22</v>
      </c>
      <c r="C81" t="s">
        <v>75</v>
      </c>
      <c r="D81" t="str">
        <f>VLOOKUP(B81,COMPUTER!$M$8:$P$48,4,FALSE)&amp;VLOOKUP(B81+1,COMPUTER!$M$8:$P$48,4,FALSE)</f>
        <v/>
      </c>
      <c r="E81" t="str">
        <f t="shared" si="22"/>
        <v/>
      </c>
      <c r="F81" t="str">
        <f t="shared" si="23"/>
        <v/>
      </c>
      <c r="G81" t="str">
        <f t="shared" si="24"/>
        <v/>
      </c>
      <c r="H81" t="str">
        <f t="shared" si="25"/>
        <v/>
      </c>
      <c r="I81" t="str">
        <f t="shared" si="26"/>
        <v/>
      </c>
      <c r="J81" s="50"/>
      <c r="K81" s="51">
        <v>60</v>
      </c>
      <c r="L81" s="51">
        <f>COMPUTER!P68</f>
        <v>0</v>
      </c>
      <c r="M81" s="52" t="e">
        <f t="shared" si="5"/>
        <v>#N/A</v>
      </c>
      <c r="AX81">
        <v>66</v>
      </c>
      <c r="AY81" t="e">
        <f>IF($H$43="3",M87,COMPUTER!P74)</f>
        <v>#N/A</v>
      </c>
      <c r="BC81">
        <v>66</v>
      </c>
      <c r="BD81" t="e">
        <f>IF(IF($B$43="Execute",M87,COMPUTER!P74)=0,"",IF(AND($H$43="3",$B$43="Execute"),M87,COMPUTER!P74))</f>
        <v>#N/A</v>
      </c>
      <c r="BK81" s="15"/>
      <c r="BL81" s="15"/>
    </row>
    <row r="82" spans="1:64">
      <c r="A82">
        <v>37</v>
      </c>
      <c r="B82">
        <f t="shared" si="32"/>
        <v>24</v>
      </c>
      <c r="C82" t="s">
        <v>73</v>
      </c>
      <c r="D82" t="str">
        <f>VLOOKUP(B82,COMPUTER!$M$8:$P$48,4,FALSE)&amp;VLOOKUP(B82+1,COMPUTER!$M$8:$P$48,4,FALSE)</f>
        <v/>
      </c>
      <c r="E82" t="str">
        <f t="shared" si="22"/>
        <v/>
      </c>
      <c r="F82" t="str">
        <f t="shared" si="23"/>
        <v/>
      </c>
      <c r="G82" t="str">
        <f t="shared" si="24"/>
        <v/>
      </c>
      <c r="H82" t="str">
        <f t="shared" si="25"/>
        <v/>
      </c>
      <c r="I82" t="str">
        <f t="shared" si="26"/>
        <v/>
      </c>
      <c r="J82" s="50"/>
      <c r="K82" s="51">
        <v>61</v>
      </c>
      <c r="L82" s="51">
        <f>COMPUTER!P69</f>
        <v>0</v>
      </c>
      <c r="M82" s="52" t="e">
        <f t="shared" si="5"/>
        <v>#N/A</v>
      </c>
      <c r="AX82">
        <v>67</v>
      </c>
      <c r="AY82" t="e">
        <f>IF($H$43="3",M88,COMPUTER!P75)</f>
        <v>#N/A</v>
      </c>
      <c r="BC82">
        <v>67</v>
      </c>
      <c r="BD82" t="e">
        <f>IF(IF($B$43="Execute",M88,COMPUTER!P75)=0,"",IF(AND($H$43="3",$B$43="Execute"),M88,COMPUTER!P75))</f>
        <v>#N/A</v>
      </c>
      <c r="BK82" s="15"/>
      <c r="BL82" s="15"/>
    </row>
    <row r="83" spans="1:64">
      <c r="A83">
        <v>38</v>
      </c>
      <c r="B83">
        <f t="shared" si="32"/>
        <v>24</v>
      </c>
      <c r="C83" t="s">
        <v>74</v>
      </c>
      <c r="D83" t="str">
        <f>VLOOKUP(B83,COMPUTER!$M$8:$P$48,4,FALSE)&amp;VLOOKUP(B83+1,COMPUTER!$M$8:$P$48,4,FALSE)</f>
        <v/>
      </c>
      <c r="E83" t="str">
        <f t="shared" si="22"/>
        <v/>
      </c>
      <c r="F83" t="str">
        <f t="shared" si="23"/>
        <v/>
      </c>
      <c r="G83" t="str">
        <f t="shared" si="24"/>
        <v/>
      </c>
      <c r="H83" t="str">
        <f t="shared" si="25"/>
        <v/>
      </c>
      <c r="I83" t="str">
        <f t="shared" si="26"/>
        <v/>
      </c>
      <c r="J83" s="50"/>
      <c r="K83" s="51">
        <v>62</v>
      </c>
      <c r="L83" s="51">
        <f>COMPUTER!P70</f>
        <v>0</v>
      </c>
      <c r="M83" s="52" t="e">
        <f t="shared" si="5"/>
        <v>#N/A</v>
      </c>
      <c r="AX83">
        <v>68</v>
      </c>
      <c r="AY83" t="e">
        <f>IF($H$43="3",M89,COMPUTER!P76)</f>
        <v>#N/A</v>
      </c>
      <c r="BC83">
        <v>68</v>
      </c>
      <c r="BD83" t="e">
        <f>IF(IF($B$43="Execute",M89,COMPUTER!P76)=0,"",IF(AND($H$43="3",$B$43="Execute"),M89,COMPUTER!P76))</f>
        <v>#N/A</v>
      </c>
      <c r="BK83" s="15"/>
      <c r="BL83" s="15"/>
    </row>
    <row r="84" spans="1:64">
      <c r="A84">
        <v>39</v>
      </c>
      <c r="B84">
        <f t="shared" si="32"/>
        <v>24</v>
      </c>
      <c r="C84" t="s">
        <v>75</v>
      </c>
      <c r="D84" t="str">
        <f>VLOOKUP(B84,COMPUTER!$M$8:$P$48,4,FALSE)&amp;VLOOKUP(B84+1,COMPUTER!$M$8:$P$48,4,FALSE)</f>
        <v/>
      </c>
      <c r="E84" t="str">
        <f t="shared" si="22"/>
        <v/>
      </c>
      <c r="F84" t="str">
        <f t="shared" si="23"/>
        <v/>
      </c>
      <c r="G84" t="str">
        <f t="shared" si="24"/>
        <v/>
      </c>
      <c r="H84" t="str">
        <f t="shared" si="25"/>
        <v/>
      </c>
      <c r="I84" t="str">
        <f t="shared" si="26"/>
        <v/>
      </c>
      <c r="J84" s="50"/>
      <c r="K84" s="51">
        <v>63</v>
      </c>
      <c r="L84" s="51">
        <f>COMPUTER!P71</f>
        <v>0</v>
      </c>
      <c r="M84" s="52" t="e">
        <f t="shared" si="5"/>
        <v>#N/A</v>
      </c>
      <c r="AX84">
        <v>69</v>
      </c>
      <c r="AY84" t="e">
        <f>IF($H$43="3",M90,COMPUTER!P77)</f>
        <v>#N/A</v>
      </c>
      <c r="BC84">
        <v>69</v>
      </c>
      <c r="BD84" t="e">
        <f>IF(IF($B$43="Execute",M90,COMPUTER!P77)=0,"",IF(AND($H$43="3",$B$43="Execute"),M90,COMPUTER!P77))</f>
        <v>#N/A</v>
      </c>
      <c r="BK84" s="15"/>
      <c r="BL84" s="15"/>
    </row>
    <row r="85" spans="1:64">
      <c r="A85">
        <v>40</v>
      </c>
      <c r="B85">
        <f t="shared" si="32"/>
        <v>26</v>
      </c>
      <c r="C85" t="s">
        <v>73</v>
      </c>
      <c r="D85" t="str">
        <f>VLOOKUP(B85,COMPUTER!$M$8:$P$48,4,FALSE)&amp;VLOOKUP(B85+1,COMPUTER!$M$8:$P$48,4,FALSE)</f>
        <v/>
      </c>
      <c r="E85" t="str">
        <f t="shared" si="22"/>
        <v/>
      </c>
      <c r="F85" t="str">
        <f t="shared" si="23"/>
        <v/>
      </c>
      <c r="G85" t="str">
        <f t="shared" si="24"/>
        <v/>
      </c>
      <c r="H85" t="str">
        <f t="shared" si="25"/>
        <v/>
      </c>
      <c r="I85" t="str">
        <f t="shared" si="26"/>
        <v/>
      </c>
      <c r="J85" s="50"/>
      <c r="K85" s="51">
        <v>64</v>
      </c>
      <c r="L85" s="51">
        <f>COMPUTER!P72</f>
        <v>0</v>
      </c>
      <c r="M85" s="52" t="e">
        <f t="shared" si="5"/>
        <v>#N/A</v>
      </c>
      <c r="AX85">
        <v>70</v>
      </c>
      <c r="AY85" t="e">
        <f>IF($H$43="3",M91,COMPUTER!P78)</f>
        <v>#N/A</v>
      </c>
      <c r="BC85">
        <v>70</v>
      </c>
      <c r="BD85" t="e">
        <f>IF(IF($B$43="Execute",M91,COMPUTER!P78)=0,"",IF(AND($H$43="3",$B$43="Execute"),M91,COMPUTER!P78))</f>
        <v>#N/A</v>
      </c>
      <c r="BK85" s="15"/>
      <c r="BL85" s="15"/>
    </row>
    <row r="86" spans="1:64">
      <c r="A86">
        <v>41</v>
      </c>
      <c r="B86">
        <f t="shared" si="32"/>
        <v>26</v>
      </c>
      <c r="C86" t="s">
        <v>74</v>
      </c>
      <c r="D86" t="str">
        <f>VLOOKUP(B86,COMPUTER!$M$8:$P$48,4,FALSE)&amp;VLOOKUP(B86+1,COMPUTER!$M$8:$P$48,4,FALSE)</f>
        <v/>
      </c>
      <c r="E86" t="str">
        <f t="shared" si="22"/>
        <v/>
      </c>
      <c r="F86" t="str">
        <f t="shared" si="23"/>
        <v/>
      </c>
      <c r="G86" t="str">
        <f t="shared" si="24"/>
        <v/>
      </c>
      <c r="H86" t="str">
        <f t="shared" si="25"/>
        <v/>
      </c>
      <c r="I86" t="str">
        <f t="shared" si="26"/>
        <v/>
      </c>
      <c r="J86" s="50"/>
      <c r="K86" s="51">
        <v>65</v>
      </c>
      <c r="L86" s="51">
        <f>COMPUTER!P73</f>
        <v>0</v>
      </c>
      <c r="M86" s="52" t="e">
        <f t="shared" ref="M86:M149" si="33">IF(K86=$K$17,$M$17,L86)</f>
        <v>#N/A</v>
      </c>
      <c r="AX86">
        <v>71</v>
      </c>
      <c r="AY86" t="e">
        <f>IF($H$43="3",M92,COMPUTER!P79)</f>
        <v>#N/A</v>
      </c>
      <c r="BC86">
        <v>71</v>
      </c>
      <c r="BD86" t="e">
        <f>IF(IF($B$43="Execute",M92,COMPUTER!P79)=0,"",IF(AND($H$43="3",$B$43="Execute"),M92,COMPUTER!P79))</f>
        <v>#N/A</v>
      </c>
      <c r="BK86" s="15"/>
      <c r="BL86" s="15"/>
    </row>
    <row r="87" spans="1:64">
      <c r="A87">
        <v>42</v>
      </c>
      <c r="B87">
        <f t="shared" si="32"/>
        <v>26</v>
      </c>
      <c r="C87" t="s">
        <v>75</v>
      </c>
      <c r="D87" t="str">
        <f>VLOOKUP(B87,COMPUTER!$M$8:$P$48,4,FALSE)&amp;VLOOKUP(B87+1,COMPUTER!$M$8:$P$48,4,FALSE)</f>
        <v/>
      </c>
      <c r="E87" t="str">
        <f t="shared" si="22"/>
        <v/>
      </c>
      <c r="F87" t="str">
        <f t="shared" si="23"/>
        <v/>
      </c>
      <c r="G87" t="str">
        <f t="shared" si="24"/>
        <v/>
      </c>
      <c r="H87" t="str">
        <f t="shared" si="25"/>
        <v/>
      </c>
      <c r="I87" t="str">
        <f t="shared" si="26"/>
        <v/>
      </c>
      <c r="J87" s="50"/>
      <c r="K87" s="51">
        <v>66</v>
      </c>
      <c r="L87" s="51">
        <f>COMPUTER!P74</f>
        <v>0</v>
      </c>
      <c r="M87" s="52" t="e">
        <f t="shared" si="33"/>
        <v>#N/A</v>
      </c>
      <c r="AX87">
        <v>72</v>
      </c>
      <c r="AY87" t="e">
        <f>IF($H$43="3",M93,COMPUTER!P80)</f>
        <v>#N/A</v>
      </c>
      <c r="BC87">
        <v>72</v>
      </c>
      <c r="BD87" t="e">
        <f>IF(IF($B$43="Execute",M93,COMPUTER!P80)=0,"",IF(AND($H$43="3",$B$43="Execute"),M93,COMPUTER!P80))</f>
        <v>#N/A</v>
      </c>
      <c r="BK87" s="15"/>
      <c r="BL87" s="15"/>
    </row>
    <row r="88" spans="1:64">
      <c r="A88">
        <v>43</v>
      </c>
      <c r="B88">
        <f t="shared" si="32"/>
        <v>28</v>
      </c>
      <c r="C88" t="s">
        <v>73</v>
      </c>
      <c r="D88" t="str">
        <f>VLOOKUP(B88,COMPUTER!$M$8:$P$48,4,FALSE)&amp;VLOOKUP(B88+1,COMPUTER!$M$8:$P$48,4,FALSE)</f>
        <v/>
      </c>
      <c r="E88" t="str">
        <f t="shared" si="22"/>
        <v/>
      </c>
      <c r="F88" t="str">
        <f t="shared" si="23"/>
        <v/>
      </c>
      <c r="G88" t="str">
        <f t="shared" si="24"/>
        <v/>
      </c>
      <c r="H88" t="str">
        <f t="shared" si="25"/>
        <v/>
      </c>
      <c r="I88" t="str">
        <f t="shared" si="26"/>
        <v/>
      </c>
      <c r="J88" s="50"/>
      <c r="K88" s="51">
        <v>67</v>
      </c>
      <c r="L88" s="51">
        <f>COMPUTER!P75</f>
        <v>0</v>
      </c>
      <c r="M88" s="52" t="e">
        <f t="shared" si="33"/>
        <v>#N/A</v>
      </c>
      <c r="AX88">
        <v>73</v>
      </c>
      <c r="AY88" t="e">
        <f>IF($H$43="3",M94,COMPUTER!P81)</f>
        <v>#N/A</v>
      </c>
      <c r="BC88">
        <v>73</v>
      </c>
      <c r="BD88" t="e">
        <f>IF(IF($B$43="Execute",M94,COMPUTER!P81)=0,"",IF(AND($H$43="3",$B$43="Execute"),M94,COMPUTER!P81))</f>
        <v>#N/A</v>
      </c>
      <c r="BK88" s="15"/>
      <c r="BL88" s="15"/>
    </row>
    <row r="89" spans="1:64">
      <c r="A89">
        <v>44</v>
      </c>
      <c r="B89">
        <f t="shared" si="32"/>
        <v>28</v>
      </c>
      <c r="C89" t="s">
        <v>74</v>
      </c>
      <c r="D89" t="str">
        <f>VLOOKUP(B89,COMPUTER!$M$8:$P$48,4,FALSE)&amp;VLOOKUP(B89+1,COMPUTER!$M$8:$P$48,4,FALSE)</f>
        <v/>
      </c>
      <c r="E89" t="str">
        <f t="shared" si="22"/>
        <v/>
      </c>
      <c r="F89" t="str">
        <f t="shared" si="23"/>
        <v/>
      </c>
      <c r="G89" t="str">
        <f t="shared" si="24"/>
        <v/>
      </c>
      <c r="H89" t="str">
        <f t="shared" si="25"/>
        <v/>
      </c>
      <c r="I89" t="str">
        <f t="shared" si="26"/>
        <v/>
      </c>
      <c r="J89" s="50"/>
      <c r="K89" s="51">
        <v>68</v>
      </c>
      <c r="L89" s="51">
        <f>COMPUTER!P76</f>
        <v>0</v>
      </c>
      <c r="M89" s="52" t="e">
        <f t="shared" si="33"/>
        <v>#N/A</v>
      </c>
      <c r="AX89">
        <v>74</v>
      </c>
      <c r="AY89" t="e">
        <f>IF($H$43="3",M95,COMPUTER!P82)</f>
        <v>#N/A</v>
      </c>
      <c r="BC89">
        <v>74</v>
      </c>
      <c r="BD89" t="e">
        <f>IF(IF($B$43="Execute",M95,COMPUTER!P82)=0,"",IF(AND($H$43="3",$B$43="Execute"),M95,COMPUTER!P82))</f>
        <v>#N/A</v>
      </c>
      <c r="BK89" s="15"/>
      <c r="BL89" s="15"/>
    </row>
    <row r="90" spans="1:64">
      <c r="A90">
        <v>45</v>
      </c>
      <c r="B90">
        <f t="shared" si="32"/>
        <v>28</v>
      </c>
      <c r="C90" t="s">
        <v>75</v>
      </c>
      <c r="D90" t="str">
        <f>VLOOKUP(B90,COMPUTER!$M$8:$P$48,4,FALSE)&amp;VLOOKUP(B90+1,COMPUTER!$M$8:$P$48,4,FALSE)</f>
        <v/>
      </c>
      <c r="E90" t="str">
        <f t="shared" si="22"/>
        <v/>
      </c>
      <c r="F90" t="str">
        <f t="shared" si="23"/>
        <v/>
      </c>
      <c r="G90" t="str">
        <f t="shared" si="24"/>
        <v/>
      </c>
      <c r="H90" t="str">
        <f t="shared" si="25"/>
        <v/>
      </c>
      <c r="I90" t="str">
        <f t="shared" si="26"/>
        <v/>
      </c>
      <c r="J90" s="50"/>
      <c r="K90" s="51">
        <v>69</v>
      </c>
      <c r="L90" s="51">
        <f>COMPUTER!P77</f>
        <v>0</v>
      </c>
      <c r="M90" s="52" t="e">
        <f t="shared" si="33"/>
        <v>#N/A</v>
      </c>
      <c r="AX90">
        <v>75</v>
      </c>
      <c r="AY90" t="e">
        <f>IF($H$43="3",M96,COMPUTER!P83)</f>
        <v>#N/A</v>
      </c>
      <c r="BC90">
        <v>75</v>
      </c>
      <c r="BD90" t="e">
        <f>IF(IF($B$43="Execute",M96,COMPUTER!P83)=0,"",IF(AND($H$43="3",$B$43="Execute"),M96,COMPUTER!P83))</f>
        <v>#N/A</v>
      </c>
      <c r="BK90" s="15"/>
      <c r="BL90" s="15"/>
    </row>
    <row r="91" spans="1:64">
      <c r="A91">
        <v>46</v>
      </c>
      <c r="B91">
        <f t="shared" si="32"/>
        <v>30</v>
      </c>
      <c r="C91" t="s">
        <v>73</v>
      </c>
      <c r="D91" t="str">
        <f>VLOOKUP(B91,COMPUTER!$M$8:$P$48,4,FALSE)&amp;VLOOKUP(B91+1,COMPUTER!$M$8:$P$48,4,FALSE)</f>
        <v/>
      </c>
      <c r="E91" t="str">
        <f t="shared" si="22"/>
        <v/>
      </c>
      <c r="F91" t="str">
        <f t="shared" si="23"/>
        <v/>
      </c>
      <c r="G91" t="str">
        <f t="shared" si="24"/>
        <v/>
      </c>
      <c r="H91" t="str">
        <f t="shared" si="25"/>
        <v/>
      </c>
      <c r="I91" t="str">
        <f t="shared" si="26"/>
        <v/>
      </c>
      <c r="J91" s="50"/>
      <c r="K91" s="51">
        <v>70</v>
      </c>
      <c r="L91" s="51">
        <f>COMPUTER!P78</f>
        <v>0</v>
      </c>
      <c r="M91" s="52" t="e">
        <f t="shared" si="33"/>
        <v>#N/A</v>
      </c>
      <c r="AX91">
        <v>76</v>
      </c>
      <c r="AY91" t="e">
        <f>IF($H$43="3",M97,COMPUTER!P84)</f>
        <v>#N/A</v>
      </c>
      <c r="BC91">
        <v>76</v>
      </c>
      <c r="BD91" t="e">
        <f>IF(IF($B$43="Execute",M97,COMPUTER!P84)=0,"",IF(AND($H$43="3",$B$43="Execute"),M97,COMPUTER!P84))</f>
        <v>#N/A</v>
      </c>
      <c r="BK91" s="15"/>
      <c r="BL91" s="15"/>
    </row>
    <row r="92" spans="1:64">
      <c r="A92">
        <v>47</v>
      </c>
      <c r="B92">
        <f t="shared" si="32"/>
        <v>30</v>
      </c>
      <c r="C92" t="s">
        <v>74</v>
      </c>
      <c r="D92" t="str">
        <f>VLOOKUP(B92,COMPUTER!$M$8:$P$48,4,FALSE)&amp;VLOOKUP(B92+1,COMPUTER!$M$8:$P$48,4,FALSE)</f>
        <v/>
      </c>
      <c r="E92" t="str">
        <f t="shared" si="22"/>
        <v/>
      </c>
      <c r="F92" t="str">
        <f t="shared" si="23"/>
        <v/>
      </c>
      <c r="G92" t="str">
        <f t="shared" si="24"/>
        <v/>
      </c>
      <c r="H92" t="str">
        <f t="shared" si="25"/>
        <v/>
      </c>
      <c r="I92" t="str">
        <f t="shared" si="26"/>
        <v/>
      </c>
      <c r="J92" s="50"/>
      <c r="K92" s="51">
        <v>71</v>
      </c>
      <c r="L92" s="51">
        <f>COMPUTER!P79</f>
        <v>0</v>
      </c>
      <c r="M92" s="52" t="e">
        <f t="shared" si="33"/>
        <v>#N/A</v>
      </c>
      <c r="AX92">
        <v>77</v>
      </c>
      <c r="AY92" t="e">
        <f>IF($H$43="3",M98,COMPUTER!P85)</f>
        <v>#N/A</v>
      </c>
      <c r="BC92">
        <v>77</v>
      </c>
      <c r="BD92" t="e">
        <f>IF(IF($B$43="Execute",M98,COMPUTER!P85)=0,"",IF(AND($H$43="3",$B$43="Execute"),M98,COMPUTER!P85))</f>
        <v>#N/A</v>
      </c>
      <c r="BK92" s="15"/>
      <c r="BL92" s="15"/>
    </row>
    <row r="93" spans="1:64">
      <c r="A93">
        <v>48</v>
      </c>
      <c r="B93">
        <f t="shared" si="32"/>
        <v>30</v>
      </c>
      <c r="C93" t="s">
        <v>75</v>
      </c>
      <c r="D93" t="str">
        <f>VLOOKUP(B93,COMPUTER!$M$8:$P$48,4,FALSE)&amp;VLOOKUP(B93+1,COMPUTER!$M$8:$P$48,4,FALSE)</f>
        <v/>
      </c>
      <c r="E93" t="str">
        <f t="shared" si="22"/>
        <v/>
      </c>
      <c r="F93" t="str">
        <f t="shared" si="23"/>
        <v/>
      </c>
      <c r="G93" t="str">
        <f t="shared" si="24"/>
        <v/>
      </c>
      <c r="H93" t="str">
        <f t="shared" si="25"/>
        <v/>
      </c>
      <c r="I93" t="str">
        <f t="shared" si="26"/>
        <v/>
      </c>
      <c r="J93" s="50"/>
      <c r="K93" s="51">
        <v>72</v>
      </c>
      <c r="L93" s="51">
        <f>COMPUTER!P80</f>
        <v>0</v>
      </c>
      <c r="M93" s="52" t="e">
        <f t="shared" si="33"/>
        <v>#N/A</v>
      </c>
      <c r="AX93">
        <v>78</v>
      </c>
      <c r="AY93" t="e">
        <f>IF($H$43="3",M99,COMPUTER!P86)</f>
        <v>#N/A</v>
      </c>
      <c r="BC93">
        <v>78</v>
      </c>
      <c r="BD93" t="e">
        <f>IF(IF($B$43="Execute",M99,COMPUTER!P86)=0,"",IF(AND($H$43="3",$B$43="Execute"),M99,COMPUTER!P86))</f>
        <v>#N/A</v>
      </c>
      <c r="BK93" s="15"/>
      <c r="BL93" s="15"/>
    </row>
    <row r="94" spans="1:64">
      <c r="A94">
        <v>49</v>
      </c>
      <c r="B94">
        <f t="shared" si="32"/>
        <v>32</v>
      </c>
      <c r="C94" t="s">
        <v>73</v>
      </c>
      <c r="D94" t="str">
        <f>VLOOKUP(B94,COMPUTER!$M$8:$P$48,4,FALSE)&amp;VLOOKUP(B94+1,COMPUTER!$M$8:$P$48,4,FALSE)</f>
        <v/>
      </c>
      <c r="E94" t="str">
        <f t="shared" si="22"/>
        <v/>
      </c>
      <c r="F94" t="str">
        <f t="shared" si="23"/>
        <v/>
      </c>
      <c r="G94" t="str">
        <f t="shared" si="24"/>
        <v/>
      </c>
      <c r="H94" t="str">
        <f t="shared" si="25"/>
        <v/>
      </c>
      <c r="I94" t="str">
        <f t="shared" si="26"/>
        <v/>
      </c>
      <c r="J94" s="50"/>
      <c r="K94" s="51">
        <v>73</v>
      </c>
      <c r="L94" s="51">
        <f>COMPUTER!P81</f>
        <v>0</v>
      </c>
      <c r="M94" s="52" t="e">
        <f t="shared" si="33"/>
        <v>#N/A</v>
      </c>
      <c r="AX94">
        <v>79</v>
      </c>
      <c r="AY94" t="e">
        <f>IF($H$43="3",M100,COMPUTER!P87)</f>
        <v>#N/A</v>
      </c>
      <c r="BC94">
        <v>79</v>
      </c>
      <c r="BD94" t="e">
        <f>IF(IF($B$43="Execute",M100,COMPUTER!P87)=0,"",IF(AND($H$43="3",$B$43="Execute"),M100,COMPUTER!P87))</f>
        <v>#N/A</v>
      </c>
      <c r="BK94" s="15"/>
      <c r="BL94" s="15"/>
    </row>
    <row r="95" spans="1:64">
      <c r="A95">
        <v>50</v>
      </c>
      <c r="B95">
        <f t="shared" si="32"/>
        <v>32</v>
      </c>
      <c r="C95" t="s">
        <v>74</v>
      </c>
      <c r="D95" t="str">
        <f>VLOOKUP(B95,COMPUTER!$M$8:$P$48,4,FALSE)&amp;VLOOKUP(B95+1,COMPUTER!$M$8:$P$48,4,FALSE)</f>
        <v/>
      </c>
      <c r="E95" t="str">
        <f t="shared" si="22"/>
        <v/>
      </c>
      <c r="F95" t="str">
        <f t="shared" si="23"/>
        <v/>
      </c>
      <c r="G95" t="str">
        <f t="shared" si="24"/>
        <v/>
      </c>
      <c r="H95" t="str">
        <f t="shared" si="25"/>
        <v/>
      </c>
      <c r="I95" t="str">
        <f t="shared" si="26"/>
        <v/>
      </c>
      <c r="J95" s="50"/>
      <c r="K95" s="51">
        <v>74</v>
      </c>
      <c r="L95" s="51">
        <f>COMPUTER!P82</f>
        <v>0</v>
      </c>
      <c r="M95" s="52" t="e">
        <f t="shared" si="33"/>
        <v>#N/A</v>
      </c>
      <c r="AX95">
        <v>80</v>
      </c>
      <c r="AY95" t="e">
        <f>IF($H$43="3",M101,COMPUTER!P88)</f>
        <v>#N/A</v>
      </c>
      <c r="BC95">
        <v>80</v>
      </c>
      <c r="BD95" t="e">
        <f>IF(IF($B$43="Execute",M101,COMPUTER!P88)=0,"",IF(AND($H$43="3",$B$43="Execute"),M101,COMPUTER!P88))</f>
        <v>#N/A</v>
      </c>
      <c r="BK95" s="15"/>
      <c r="BL95" s="15"/>
    </row>
    <row r="96" spans="1:64">
      <c r="A96">
        <v>51</v>
      </c>
      <c r="B96">
        <f t="shared" si="32"/>
        <v>32</v>
      </c>
      <c r="C96" t="s">
        <v>75</v>
      </c>
      <c r="D96" t="str">
        <f>VLOOKUP(B96,COMPUTER!$M$8:$P$48,4,FALSE)&amp;VLOOKUP(B96+1,COMPUTER!$M$8:$P$48,4,FALSE)</f>
        <v/>
      </c>
      <c r="E96" t="str">
        <f t="shared" si="22"/>
        <v/>
      </c>
      <c r="F96" t="str">
        <f t="shared" si="23"/>
        <v/>
      </c>
      <c r="G96" t="str">
        <f t="shared" si="24"/>
        <v/>
      </c>
      <c r="H96" t="str">
        <f t="shared" si="25"/>
        <v/>
      </c>
      <c r="I96" t="str">
        <f t="shared" si="26"/>
        <v/>
      </c>
      <c r="J96" s="50"/>
      <c r="K96" s="51">
        <v>75</v>
      </c>
      <c r="L96" s="51">
        <f>COMPUTER!P83</f>
        <v>0</v>
      </c>
      <c r="M96" s="52" t="e">
        <f t="shared" si="33"/>
        <v>#N/A</v>
      </c>
      <c r="AX96">
        <v>81</v>
      </c>
      <c r="AY96" t="e">
        <f>IF($H$43="3",M102,COMPUTER!P89)</f>
        <v>#N/A</v>
      </c>
      <c r="BC96">
        <v>81</v>
      </c>
      <c r="BD96" t="e">
        <f>IF(IF($B$43="Execute",M102,COMPUTER!P89)=0,"",IF(AND($H$43="3",$B$43="Execute"),M102,COMPUTER!P89))</f>
        <v>#N/A</v>
      </c>
      <c r="BK96" s="15"/>
      <c r="BL96" s="15"/>
    </row>
    <row r="97" spans="1:64">
      <c r="A97">
        <v>52</v>
      </c>
      <c r="B97">
        <f t="shared" si="32"/>
        <v>34</v>
      </c>
      <c r="C97" t="s">
        <v>73</v>
      </c>
      <c r="D97" t="str">
        <f>VLOOKUP(B97,COMPUTER!$M$8:$P$48,4,FALSE)&amp;VLOOKUP(B97+1,COMPUTER!$M$8:$P$48,4,FALSE)</f>
        <v/>
      </c>
      <c r="E97" t="str">
        <f t="shared" si="22"/>
        <v/>
      </c>
      <c r="F97" t="str">
        <f t="shared" si="23"/>
        <v/>
      </c>
      <c r="G97" t="str">
        <f t="shared" si="24"/>
        <v/>
      </c>
      <c r="H97" t="str">
        <f t="shared" si="25"/>
        <v/>
      </c>
      <c r="I97" t="str">
        <f t="shared" si="26"/>
        <v/>
      </c>
      <c r="J97" s="50"/>
      <c r="K97" s="51">
        <v>76</v>
      </c>
      <c r="L97" s="51">
        <f>COMPUTER!P84</f>
        <v>0</v>
      </c>
      <c r="M97" s="52" t="e">
        <f t="shared" si="33"/>
        <v>#N/A</v>
      </c>
      <c r="AX97">
        <v>82</v>
      </c>
      <c r="AY97" t="e">
        <f>IF($H$43="3",M103,COMPUTER!P90)</f>
        <v>#N/A</v>
      </c>
      <c r="BC97">
        <v>82</v>
      </c>
      <c r="BD97" t="e">
        <f>IF(IF($B$43="Execute",M103,COMPUTER!P90)=0,"",IF(AND($H$43="3",$B$43="Execute"),M103,COMPUTER!P90))</f>
        <v>#N/A</v>
      </c>
      <c r="BK97" s="15"/>
      <c r="BL97" s="15"/>
    </row>
    <row r="98" spans="1:64">
      <c r="A98">
        <v>53</v>
      </c>
      <c r="B98">
        <f t="shared" si="32"/>
        <v>34</v>
      </c>
      <c r="C98" t="s">
        <v>74</v>
      </c>
      <c r="D98" t="str">
        <f>VLOOKUP(B98,COMPUTER!$M$8:$P$48,4,FALSE)&amp;VLOOKUP(B98+1,COMPUTER!$M$8:$P$48,4,FALSE)</f>
        <v/>
      </c>
      <c r="E98" t="str">
        <f t="shared" si="22"/>
        <v/>
      </c>
      <c r="F98" t="str">
        <f t="shared" si="23"/>
        <v/>
      </c>
      <c r="G98" t="str">
        <f t="shared" si="24"/>
        <v/>
      </c>
      <c r="H98" t="str">
        <f t="shared" si="25"/>
        <v/>
      </c>
      <c r="I98" t="str">
        <f t="shared" si="26"/>
        <v/>
      </c>
      <c r="J98" s="50"/>
      <c r="K98" s="51">
        <v>77</v>
      </c>
      <c r="L98" s="51">
        <f>COMPUTER!P85</f>
        <v>0</v>
      </c>
      <c r="M98" s="52" t="e">
        <f t="shared" si="33"/>
        <v>#N/A</v>
      </c>
      <c r="AX98">
        <v>83</v>
      </c>
      <c r="AY98" t="e">
        <f>IF($H$43="3",M104,COMPUTER!P91)</f>
        <v>#N/A</v>
      </c>
      <c r="BC98">
        <v>83</v>
      </c>
      <c r="BD98" t="e">
        <f>IF(IF($B$43="Execute",M104,COMPUTER!P91)=0,"",IF(AND($H$43="3",$B$43="Execute"),M104,COMPUTER!P91))</f>
        <v>#N/A</v>
      </c>
      <c r="BK98" s="15"/>
      <c r="BL98" s="15"/>
    </row>
    <row r="99" spans="1:64">
      <c r="A99">
        <v>54</v>
      </c>
      <c r="B99">
        <f t="shared" si="32"/>
        <v>34</v>
      </c>
      <c r="C99" t="s">
        <v>75</v>
      </c>
      <c r="D99" t="str">
        <f>VLOOKUP(B99,COMPUTER!$M$8:$P$48,4,FALSE)&amp;VLOOKUP(B99+1,COMPUTER!$M$8:$P$48,4,FALSE)</f>
        <v/>
      </c>
      <c r="E99" t="str">
        <f t="shared" si="22"/>
        <v/>
      </c>
      <c r="F99" t="str">
        <f t="shared" si="23"/>
        <v/>
      </c>
      <c r="G99" t="str">
        <f t="shared" si="24"/>
        <v/>
      </c>
      <c r="H99" t="str">
        <f t="shared" si="25"/>
        <v/>
      </c>
      <c r="I99" t="str">
        <f t="shared" si="26"/>
        <v/>
      </c>
      <c r="J99" s="50"/>
      <c r="K99" s="51">
        <v>78</v>
      </c>
      <c r="L99" s="51">
        <f>COMPUTER!P86</f>
        <v>0</v>
      </c>
      <c r="M99" s="52" t="e">
        <f t="shared" si="33"/>
        <v>#N/A</v>
      </c>
      <c r="AX99">
        <v>84</v>
      </c>
      <c r="AY99" t="e">
        <f>IF($H$43="3",M105,COMPUTER!P92)</f>
        <v>#N/A</v>
      </c>
      <c r="BC99">
        <v>84</v>
      </c>
      <c r="BD99" t="e">
        <f>IF(IF($B$43="Execute",M105,COMPUTER!P92)=0,"",IF(AND($H$43="3",$B$43="Execute"),M105,COMPUTER!P92))</f>
        <v>#N/A</v>
      </c>
      <c r="BK99" s="15"/>
      <c r="BL99" s="15"/>
    </row>
    <row r="100" spans="1:64">
      <c r="A100">
        <v>55</v>
      </c>
      <c r="B100">
        <f t="shared" si="32"/>
        <v>36</v>
      </c>
      <c r="C100" t="s">
        <v>73</v>
      </c>
      <c r="D100" t="str">
        <f>VLOOKUP(B100,COMPUTER!$M$8:$P$48,4,FALSE)&amp;VLOOKUP(B100+1,COMPUTER!$M$8:$P$48,4,FALSE)</f>
        <v/>
      </c>
      <c r="E100" t="str">
        <f t="shared" si="22"/>
        <v/>
      </c>
      <c r="F100" t="str">
        <f t="shared" si="23"/>
        <v/>
      </c>
      <c r="G100" t="str">
        <f t="shared" si="24"/>
        <v/>
      </c>
      <c r="H100" t="str">
        <f t="shared" si="25"/>
        <v/>
      </c>
      <c r="I100" t="str">
        <f t="shared" si="26"/>
        <v/>
      </c>
      <c r="J100" s="50"/>
      <c r="K100" s="51">
        <v>79</v>
      </c>
      <c r="L100" s="51">
        <f>COMPUTER!P87</f>
        <v>0</v>
      </c>
      <c r="M100" s="52" t="e">
        <f t="shared" si="33"/>
        <v>#N/A</v>
      </c>
      <c r="AX100">
        <v>85</v>
      </c>
      <c r="AY100" t="e">
        <f>IF($H$43="3",M106,COMPUTER!P93)</f>
        <v>#N/A</v>
      </c>
      <c r="BC100">
        <v>85</v>
      </c>
      <c r="BD100" t="e">
        <f>IF(IF($B$43="Execute",M106,COMPUTER!P93)=0,"",IF(AND($H$43="3",$B$43="Execute"),M106,COMPUTER!P93))</f>
        <v>#N/A</v>
      </c>
      <c r="BK100" s="15"/>
      <c r="BL100" s="15"/>
    </row>
    <row r="101" spans="1:64">
      <c r="A101">
        <v>56</v>
      </c>
      <c r="B101">
        <f t="shared" si="32"/>
        <v>36</v>
      </c>
      <c r="C101" t="s">
        <v>74</v>
      </c>
      <c r="D101" t="str">
        <f>VLOOKUP(B101,COMPUTER!$M$8:$P$48,4,FALSE)&amp;VLOOKUP(B101+1,COMPUTER!$M$8:$P$48,4,FALSE)</f>
        <v/>
      </c>
      <c r="E101" t="str">
        <f t="shared" si="22"/>
        <v/>
      </c>
      <c r="F101" t="str">
        <f t="shared" si="23"/>
        <v/>
      </c>
      <c r="G101" t="str">
        <f t="shared" si="24"/>
        <v/>
      </c>
      <c r="H101" t="str">
        <f t="shared" si="25"/>
        <v/>
      </c>
      <c r="I101" t="str">
        <f t="shared" si="26"/>
        <v/>
      </c>
      <c r="J101" s="50"/>
      <c r="K101" s="51">
        <v>80</v>
      </c>
      <c r="L101" s="51">
        <f>COMPUTER!P88</f>
        <v>0</v>
      </c>
      <c r="M101" s="52" t="e">
        <f t="shared" si="33"/>
        <v>#N/A</v>
      </c>
      <c r="AX101">
        <v>86</v>
      </c>
      <c r="AY101" t="e">
        <f>IF($H$43="3",M107,COMPUTER!P94)</f>
        <v>#N/A</v>
      </c>
      <c r="BC101">
        <v>86</v>
      </c>
      <c r="BD101" t="e">
        <f>IF(IF($B$43="Execute",M107,COMPUTER!P94)=0,"",IF(AND($H$43="3",$B$43="Execute"),M107,COMPUTER!P94))</f>
        <v>#N/A</v>
      </c>
      <c r="BK101" s="15"/>
      <c r="BL101" s="15"/>
    </row>
    <row r="102" spans="1:64">
      <c r="A102">
        <v>57</v>
      </c>
      <c r="B102">
        <f t="shared" si="32"/>
        <v>36</v>
      </c>
      <c r="C102" t="s">
        <v>75</v>
      </c>
      <c r="D102" t="str">
        <f>VLOOKUP(B102,COMPUTER!$M$8:$P$48,4,FALSE)&amp;VLOOKUP(B102+1,COMPUTER!$M$8:$P$48,4,FALSE)</f>
        <v/>
      </c>
      <c r="E102" t="str">
        <f t="shared" si="22"/>
        <v/>
      </c>
      <c r="F102" t="str">
        <f t="shared" si="23"/>
        <v/>
      </c>
      <c r="G102" t="str">
        <f t="shared" si="24"/>
        <v/>
      </c>
      <c r="H102" t="str">
        <f t="shared" si="25"/>
        <v/>
      </c>
      <c r="I102" t="str">
        <f t="shared" si="26"/>
        <v/>
      </c>
      <c r="J102" s="50"/>
      <c r="K102" s="51">
        <v>81</v>
      </c>
      <c r="L102" s="51">
        <f>COMPUTER!P89</f>
        <v>0</v>
      </c>
      <c r="M102" s="52" t="e">
        <f t="shared" si="33"/>
        <v>#N/A</v>
      </c>
      <c r="AX102">
        <v>87</v>
      </c>
      <c r="AY102" t="e">
        <f>IF($H$43="3",M108,COMPUTER!P95)</f>
        <v>#N/A</v>
      </c>
      <c r="BC102">
        <v>87</v>
      </c>
      <c r="BD102" t="e">
        <f>IF(IF($B$43="Execute",M108,COMPUTER!P95)=0,"",IF(AND($H$43="3",$B$43="Execute"),M108,COMPUTER!P95))</f>
        <v>#N/A</v>
      </c>
      <c r="BK102" s="15"/>
      <c r="BL102" s="15"/>
    </row>
    <row r="103" spans="1:64">
      <c r="A103">
        <v>58</v>
      </c>
      <c r="B103">
        <f t="shared" si="32"/>
        <v>38</v>
      </c>
      <c r="C103" t="s">
        <v>73</v>
      </c>
      <c r="D103" t="str">
        <f>VLOOKUP(B103,COMPUTER!$M$8:$P$48,4,FALSE)&amp;VLOOKUP(B103+1,COMPUTER!$M$8:$P$48,4,FALSE)</f>
        <v/>
      </c>
      <c r="E103" t="str">
        <f t="shared" si="22"/>
        <v/>
      </c>
      <c r="F103" t="str">
        <f t="shared" si="23"/>
        <v/>
      </c>
      <c r="G103" t="str">
        <f t="shared" si="24"/>
        <v/>
      </c>
      <c r="H103" t="str">
        <f t="shared" si="25"/>
        <v/>
      </c>
      <c r="I103" t="str">
        <f t="shared" si="26"/>
        <v/>
      </c>
      <c r="J103" s="50"/>
      <c r="K103" s="51">
        <v>82</v>
      </c>
      <c r="L103" s="51">
        <f>COMPUTER!P90</f>
        <v>0</v>
      </c>
      <c r="M103" s="52" t="e">
        <f t="shared" si="33"/>
        <v>#N/A</v>
      </c>
      <c r="AX103">
        <v>88</v>
      </c>
      <c r="AY103" t="e">
        <f>IF($H$43="3",M109,COMPUTER!P96)</f>
        <v>#N/A</v>
      </c>
      <c r="BC103">
        <v>88</v>
      </c>
      <c r="BD103" t="e">
        <f>IF(IF($B$43="Execute",M109,COMPUTER!P96)=0,"",IF(AND($H$43="3",$B$43="Execute"),M109,COMPUTER!P96))</f>
        <v>#N/A</v>
      </c>
      <c r="BK103" s="15"/>
      <c r="BL103" s="15"/>
    </row>
    <row r="104" spans="1:64">
      <c r="A104">
        <v>59</v>
      </c>
      <c r="B104">
        <f t="shared" si="32"/>
        <v>38</v>
      </c>
      <c r="C104" t="s">
        <v>74</v>
      </c>
      <c r="D104" t="str">
        <f>VLOOKUP(B104,COMPUTER!$M$8:$P$48,4,FALSE)&amp;VLOOKUP(B104+1,COMPUTER!$M$8:$P$48,4,FALSE)</f>
        <v/>
      </c>
      <c r="E104" t="str">
        <f t="shared" si="22"/>
        <v/>
      </c>
      <c r="F104" t="str">
        <f t="shared" si="23"/>
        <v/>
      </c>
      <c r="G104" t="str">
        <f t="shared" si="24"/>
        <v/>
      </c>
      <c r="H104" t="str">
        <f t="shared" si="25"/>
        <v/>
      </c>
      <c r="I104" t="str">
        <f t="shared" si="26"/>
        <v/>
      </c>
      <c r="J104" s="50"/>
      <c r="K104" s="51">
        <v>83</v>
      </c>
      <c r="L104" s="51">
        <f>COMPUTER!P91</f>
        <v>0</v>
      </c>
      <c r="M104" s="52" t="e">
        <f t="shared" si="33"/>
        <v>#N/A</v>
      </c>
      <c r="AX104">
        <v>89</v>
      </c>
      <c r="AY104" t="e">
        <f>IF($H$43="3",M110,COMPUTER!P97)</f>
        <v>#N/A</v>
      </c>
      <c r="BC104">
        <v>89</v>
      </c>
      <c r="BD104" t="e">
        <f>IF(IF($B$43="Execute",M110,COMPUTER!P97)=0,"",IF(AND($H$43="3",$B$43="Execute"),M110,COMPUTER!P97))</f>
        <v>#N/A</v>
      </c>
      <c r="BK104" s="15"/>
      <c r="BL104" s="15"/>
    </row>
    <row r="105" spans="1:64">
      <c r="A105">
        <v>60</v>
      </c>
      <c r="B105">
        <f t="shared" si="32"/>
        <v>38</v>
      </c>
      <c r="C105" t="s">
        <v>75</v>
      </c>
      <c r="D105" t="str">
        <f>VLOOKUP(B105,COMPUTER!$M$8:$P$48,4,FALSE)&amp;VLOOKUP(B105+1,COMPUTER!$M$8:$P$48,4,FALSE)</f>
        <v/>
      </c>
      <c r="E105" t="str">
        <f t="shared" si="22"/>
        <v/>
      </c>
      <c r="F105" t="str">
        <f t="shared" si="23"/>
        <v/>
      </c>
      <c r="G105" t="str">
        <f t="shared" si="24"/>
        <v/>
      </c>
      <c r="H105" t="str">
        <f t="shared" si="25"/>
        <v/>
      </c>
      <c r="I105" t="str">
        <f t="shared" si="26"/>
        <v/>
      </c>
      <c r="J105" s="50"/>
      <c r="K105" s="51">
        <v>84</v>
      </c>
      <c r="L105" s="51">
        <f>COMPUTER!P92</f>
        <v>0</v>
      </c>
      <c r="M105" s="52" t="e">
        <f t="shared" si="33"/>
        <v>#N/A</v>
      </c>
      <c r="AX105">
        <v>90</v>
      </c>
      <c r="AY105" t="e">
        <f>IF($H$43="3",M111,COMPUTER!P98)</f>
        <v>#N/A</v>
      </c>
      <c r="BC105">
        <v>90</v>
      </c>
      <c r="BD105" t="e">
        <f>IF(IF($B$43="Execute",M111,COMPUTER!P98)=0,"",IF(AND($H$43="3",$B$43="Execute"),M111,COMPUTER!P98))</f>
        <v>#N/A</v>
      </c>
      <c r="BK105" s="15"/>
      <c r="BL105" s="15"/>
    </row>
    <row r="106" spans="1:64">
      <c r="J106" s="50"/>
      <c r="K106" s="51">
        <v>85</v>
      </c>
      <c r="L106" s="51">
        <f>COMPUTER!P93</f>
        <v>0</v>
      </c>
      <c r="M106" s="52" t="e">
        <f t="shared" si="33"/>
        <v>#N/A</v>
      </c>
      <c r="AX106">
        <v>91</v>
      </c>
      <c r="AY106" t="e">
        <f>IF($H$43="3",M112,COMPUTER!P99)</f>
        <v>#N/A</v>
      </c>
      <c r="BC106">
        <v>91</v>
      </c>
      <c r="BD106" t="e">
        <f>IF(IF($B$43="Execute",M112,COMPUTER!P99)=0,"",IF(AND($H$43="3",$B$43="Execute"),M112,COMPUTER!P99))</f>
        <v>#N/A</v>
      </c>
      <c r="BK106" s="15"/>
      <c r="BL106" s="15"/>
    </row>
    <row r="107" spans="1:64">
      <c r="J107" s="50"/>
      <c r="K107" s="51">
        <v>86</v>
      </c>
      <c r="L107" s="51">
        <f>COMPUTER!P94</f>
        <v>0</v>
      </c>
      <c r="M107" s="52" t="e">
        <f t="shared" si="33"/>
        <v>#N/A</v>
      </c>
      <c r="AX107">
        <v>92</v>
      </c>
      <c r="AY107" t="e">
        <f>IF($H$43="3",M113,COMPUTER!P100)</f>
        <v>#N/A</v>
      </c>
      <c r="BC107">
        <v>92</v>
      </c>
      <c r="BD107" t="e">
        <f>IF(IF($B$43="Execute",M113,COMPUTER!P100)=0,"",IF(AND($H$43="3",$B$43="Execute"),M113,COMPUTER!P100))</f>
        <v>#N/A</v>
      </c>
      <c r="BK107" s="15"/>
      <c r="BL107" s="15"/>
    </row>
    <row r="108" spans="1:64">
      <c r="J108" s="50"/>
      <c r="K108" s="51">
        <v>87</v>
      </c>
      <c r="L108" s="51">
        <f>COMPUTER!P95</f>
        <v>0</v>
      </c>
      <c r="M108" s="52" t="e">
        <f t="shared" si="33"/>
        <v>#N/A</v>
      </c>
      <c r="AX108">
        <v>93</v>
      </c>
      <c r="AY108" t="e">
        <f>IF($H$43="3",M114,COMPUTER!P101)</f>
        <v>#N/A</v>
      </c>
      <c r="BC108">
        <v>93</v>
      </c>
      <c r="BD108" t="e">
        <f>IF(IF($B$43="Execute",M114,COMPUTER!P101)=0,"",IF(AND($H$43="3",$B$43="Execute"),M114,COMPUTER!P101))</f>
        <v>#N/A</v>
      </c>
      <c r="BK108" s="15"/>
      <c r="BL108" s="15"/>
    </row>
    <row r="109" spans="1:64">
      <c r="J109" s="50"/>
      <c r="K109" s="51">
        <v>88</v>
      </c>
      <c r="L109" s="51">
        <f>COMPUTER!P96</f>
        <v>0</v>
      </c>
      <c r="M109" s="52" t="e">
        <f t="shared" si="33"/>
        <v>#N/A</v>
      </c>
      <c r="AX109">
        <v>94</v>
      </c>
      <c r="AY109" t="e">
        <f>IF($H$43="3",M115,COMPUTER!P102)</f>
        <v>#N/A</v>
      </c>
      <c r="BC109">
        <v>94</v>
      </c>
      <c r="BD109" t="e">
        <f>IF(IF($B$43="Execute",M115,COMPUTER!P102)=0,"",IF(AND($H$43="3",$B$43="Execute"),M115,COMPUTER!P102))</f>
        <v>#N/A</v>
      </c>
      <c r="BK109" s="15"/>
      <c r="BL109" s="15"/>
    </row>
    <row r="110" spans="1:64">
      <c r="J110" s="50"/>
      <c r="K110" s="51">
        <v>89</v>
      </c>
      <c r="L110" s="51">
        <f>COMPUTER!P97</f>
        <v>0</v>
      </c>
      <c r="M110" s="52" t="e">
        <f t="shared" si="33"/>
        <v>#N/A</v>
      </c>
      <c r="AX110">
        <v>95</v>
      </c>
      <c r="AY110" t="e">
        <f>IF($H$43="3",M116,COMPUTER!P103)</f>
        <v>#N/A</v>
      </c>
      <c r="BC110">
        <v>95</v>
      </c>
      <c r="BD110" t="e">
        <f>IF(IF($B$43="Execute",M116,COMPUTER!P103)=0,"",IF(AND($H$43="3",$B$43="Execute"),M116,COMPUTER!P103))</f>
        <v>#N/A</v>
      </c>
      <c r="BK110" s="15"/>
      <c r="BL110" s="15"/>
    </row>
    <row r="111" spans="1:64">
      <c r="J111" s="50"/>
      <c r="K111" s="51">
        <v>90</v>
      </c>
      <c r="L111" s="51">
        <f>COMPUTER!P98</f>
        <v>0</v>
      </c>
      <c r="M111" s="52" t="e">
        <f t="shared" si="33"/>
        <v>#N/A</v>
      </c>
      <c r="AX111">
        <v>96</v>
      </c>
      <c r="AY111" t="e">
        <f>IF($H$43="3",M117,COMPUTER!P104)</f>
        <v>#N/A</v>
      </c>
      <c r="BC111">
        <v>96</v>
      </c>
      <c r="BD111" t="e">
        <f>IF(IF($B$43="Execute",M117,COMPUTER!P104)=0,"",IF(AND($H$43="3",$B$43="Execute"),M117,COMPUTER!P104))</f>
        <v>#N/A</v>
      </c>
      <c r="BK111" s="15"/>
      <c r="BL111" s="15"/>
    </row>
    <row r="112" spans="1:64">
      <c r="J112" s="50"/>
      <c r="K112" s="51">
        <v>91</v>
      </c>
      <c r="L112" s="51">
        <f>COMPUTER!P99</f>
        <v>0</v>
      </c>
      <c r="M112" s="52" t="e">
        <f t="shared" si="33"/>
        <v>#N/A</v>
      </c>
      <c r="AX112">
        <v>97</v>
      </c>
      <c r="AY112" t="e">
        <f>IF($H$43="3",M118,COMPUTER!P105)</f>
        <v>#N/A</v>
      </c>
      <c r="BC112">
        <v>97</v>
      </c>
      <c r="BD112" t="e">
        <f>IF(IF($B$43="Execute",M118,COMPUTER!P105)=0,"",IF(AND($H$43="3",$B$43="Execute"),M118,COMPUTER!P105))</f>
        <v>#N/A</v>
      </c>
      <c r="BK112" s="15"/>
      <c r="BL112" s="15"/>
    </row>
    <row r="113" spans="10:64">
      <c r="J113" s="50"/>
      <c r="K113" s="51">
        <v>92</v>
      </c>
      <c r="L113" s="51">
        <f>COMPUTER!P100</f>
        <v>0</v>
      </c>
      <c r="M113" s="52" t="e">
        <f t="shared" si="33"/>
        <v>#N/A</v>
      </c>
      <c r="AX113">
        <v>98</v>
      </c>
      <c r="AY113" t="e">
        <f>IF($H$43="3",M119,COMPUTER!P106)</f>
        <v>#N/A</v>
      </c>
      <c r="BC113">
        <v>98</v>
      </c>
      <c r="BD113" t="e">
        <f>IF(IF($B$43="Execute",M119,COMPUTER!P106)=0,"",IF(AND($H$43="3",$B$43="Execute"),M119,COMPUTER!P106))</f>
        <v>#N/A</v>
      </c>
      <c r="BK113" s="15"/>
      <c r="BL113" s="15"/>
    </row>
    <row r="114" spans="10:64">
      <c r="J114" s="50"/>
      <c r="K114" s="51">
        <v>93</v>
      </c>
      <c r="L114" s="51">
        <f>COMPUTER!P101</f>
        <v>0</v>
      </c>
      <c r="M114" s="52" t="e">
        <f t="shared" si="33"/>
        <v>#N/A</v>
      </c>
      <c r="AX114">
        <v>99</v>
      </c>
      <c r="AY114" t="e">
        <f>IF($H$43="3",M120,COMPUTER!P107)</f>
        <v>#N/A</v>
      </c>
      <c r="BC114">
        <v>99</v>
      </c>
      <c r="BD114" t="e">
        <f>IF(IF($B$43="Execute",M120,COMPUTER!P107)=0,"",IF(AND($H$43="3",$B$43="Execute"),M120,COMPUTER!P107))</f>
        <v>#N/A</v>
      </c>
      <c r="BK114" s="15"/>
      <c r="BL114" s="15"/>
    </row>
    <row r="115" spans="10:64">
      <c r="J115" s="50"/>
      <c r="K115" s="51">
        <v>94</v>
      </c>
      <c r="L115" s="51">
        <f>COMPUTER!P102</f>
        <v>0</v>
      </c>
      <c r="M115" s="52" t="e">
        <f t="shared" si="33"/>
        <v>#N/A</v>
      </c>
      <c r="AX115">
        <v>100</v>
      </c>
      <c r="AY115" t="e">
        <f>IF($H$43="3",M121,COMPUTER!P108)</f>
        <v>#N/A</v>
      </c>
      <c r="BC115">
        <v>100</v>
      </c>
      <c r="BD115" t="e">
        <f>IF(IF($B$43="Execute",M121,COMPUTER!P108)=0,"",IF(AND($H$43="3",$B$43="Execute"),M121,COMPUTER!P108))</f>
        <v>#N/A</v>
      </c>
      <c r="BK115" s="15"/>
      <c r="BL115" s="15"/>
    </row>
    <row r="116" spans="10:64">
      <c r="J116" s="50"/>
      <c r="K116" s="51">
        <v>95</v>
      </c>
      <c r="L116" s="51">
        <f>COMPUTER!P103</f>
        <v>0</v>
      </c>
      <c r="M116" s="52" t="e">
        <f t="shared" si="33"/>
        <v>#N/A</v>
      </c>
      <c r="AX116">
        <v>101</v>
      </c>
      <c r="AY116" t="e">
        <f>IF($H$43="3",M122,COMPUTER!P109)</f>
        <v>#N/A</v>
      </c>
      <c r="BC116">
        <v>101</v>
      </c>
      <c r="BD116" t="e">
        <f>IF(IF($B$43="Execute",M122,COMPUTER!P109)=0,"",IF(AND($H$43="3",$B$43="Execute"),M122,COMPUTER!P109))</f>
        <v>#N/A</v>
      </c>
      <c r="BK116" s="15"/>
      <c r="BL116" s="15"/>
    </row>
    <row r="117" spans="10:64">
      <c r="J117" s="50"/>
      <c r="K117" s="51">
        <v>96</v>
      </c>
      <c r="L117" s="51">
        <f>COMPUTER!P104</f>
        <v>0</v>
      </c>
      <c r="M117" s="52" t="e">
        <f t="shared" si="33"/>
        <v>#N/A</v>
      </c>
      <c r="AX117">
        <v>102</v>
      </c>
      <c r="AY117" t="e">
        <f>IF($H$43="3",M123,COMPUTER!P110)</f>
        <v>#N/A</v>
      </c>
      <c r="BC117">
        <v>102</v>
      </c>
      <c r="BD117" t="e">
        <f>IF(IF($B$43="Execute",M123,COMPUTER!P110)=0,"",IF(AND($H$43="3",$B$43="Execute"),M123,COMPUTER!P110))</f>
        <v>#N/A</v>
      </c>
      <c r="BK117" s="15"/>
      <c r="BL117" s="15"/>
    </row>
    <row r="118" spans="10:64">
      <c r="J118" s="50"/>
      <c r="K118" s="51">
        <v>97</v>
      </c>
      <c r="L118" s="51">
        <f>COMPUTER!P105</f>
        <v>0</v>
      </c>
      <c r="M118" s="52" t="e">
        <f t="shared" si="33"/>
        <v>#N/A</v>
      </c>
      <c r="AX118">
        <v>103</v>
      </c>
      <c r="AY118" t="e">
        <f>IF($H$43="3",M124,COMPUTER!P111)</f>
        <v>#N/A</v>
      </c>
      <c r="BC118">
        <v>103</v>
      </c>
      <c r="BD118" t="e">
        <f>IF(IF($B$43="Execute",M124,COMPUTER!P111)=0,"",IF(AND($H$43="3",$B$43="Execute"),M124,COMPUTER!P111))</f>
        <v>#N/A</v>
      </c>
      <c r="BK118" s="15"/>
      <c r="BL118" s="15"/>
    </row>
    <row r="119" spans="10:64">
      <c r="J119" s="50"/>
      <c r="K119" s="51">
        <v>98</v>
      </c>
      <c r="L119" s="51">
        <f>COMPUTER!P106</f>
        <v>0</v>
      </c>
      <c r="M119" s="52" t="e">
        <f t="shared" si="33"/>
        <v>#N/A</v>
      </c>
      <c r="AX119">
        <v>104</v>
      </c>
      <c r="AY119" t="e">
        <f>IF($H$43="3",M125,COMPUTER!P112)</f>
        <v>#N/A</v>
      </c>
      <c r="BC119">
        <v>104</v>
      </c>
      <c r="BD119" t="e">
        <f>IF(IF($B$43="Execute",M125,COMPUTER!P112)=0,"",IF(AND($H$43="3",$B$43="Execute"),M125,COMPUTER!P112))</f>
        <v>#N/A</v>
      </c>
      <c r="BK119" s="15"/>
      <c r="BL119" s="15"/>
    </row>
    <row r="120" spans="10:64">
      <c r="J120" s="50"/>
      <c r="K120" s="51">
        <v>99</v>
      </c>
      <c r="L120" s="51">
        <f>COMPUTER!P107</f>
        <v>0</v>
      </c>
      <c r="M120" s="52" t="e">
        <f t="shared" si="33"/>
        <v>#N/A</v>
      </c>
      <c r="AX120">
        <v>105</v>
      </c>
      <c r="AY120" t="e">
        <f>IF($H$43="3",M126,COMPUTER!P113)</f>
        <v>#N/A</v>
      </c>
      <c r="BC120">
        <v>105</v>
      </c>
      <c r="BD120" t="e">
        <f>IF(IF($B$43="Execute",M126,COMPUTER!P113)=0,"",IF(AND($H$43="3",$B$43="Execute"),M126,COMPUTER!P113))</f>
        <v>#N/A</v>
      </c>
      <c r="BK120" s="15"/>
      <c r="BL120" s="15"/>
    </row>
    <row r="121" spans="10:64">
      <c r="J121" s="50"/>
      <c r="K121" s="51">
        <v>100</v>
      </c>
      <c r="L121" s="51">
        <f>COMPUTER!P108</f>
        <v>0</v>
      </c>
      <c r="M121" s="52" t="e">
        <f t="shared" si="33"/>
        <v>#N/A</v>
      </c>
      <c r="AX121">
        <v>106</v>
      </c>
      <c r="AY121" t="e">
        <f>IF($H$43="3",M127,COMPUTER!P114)</f>
        <v>#N/A</v>
      </c>
      <c r="BC121">
        <v>106</v>
      </c>
      <c r="BD121" t="e">
        <f>IF(IF($B$43="Execute",M127,COMPUTER!P114)=0,"",IF(AND($H$43="3",$B$43="Execute"),M127,COMPUTER!P114))</f>
        <v>#N/A</v>
      </c>
      <c r="BK121" s="15"/>
      <c r="BL121" s="15"/>
    </row>
    <row r="122" spans="10:64">
      <c r="J122" s="50"/>
      <c r="K122" s="51">
        <v>101</v>
      </c>
      <c r="L122" s="51">
        <f>COMPUTER!P109</f>
        <v>0</v>
      </c>
      <c r="M122" s="52" t="e">
        <f t="shared" si="33"/>
        <v>#N/A</v>
      </c>
      <c r="AX122">
        <v>107</v>
      </c>
      <c r="AY122" t="e">
        <f>IF($H$43="3",M128,COMPUTER!P115)</f>
        <v>#N/A</v>
      </c>
      <c r="BC122">
        <v>107</v>
      </c>
      <c r="BD122" t="e">
        <f>IF(IF($B$43="Execute",M128,COMPUTER!P115)=0,"",IF(AND($H$43="3",$B$43="Execute"),M128,COMPUTER!P115))</f>
        <v>#N/A</v>
      </c>
      <c r="BK122" s="15"/>
      <c r="BL122" s="15"/>
    </row>
    <row r="123" spans="10:64">
      <c r="J123" s="50"/>
      <c r="K123" s="51">
        <v>102</v>
      </c>
      <c r="L123" s="51">
        <f>COMPUTER!P110</f>
        <v>0</v>
      </c>
      <c r="M123" s="52" t="e">
        <f t="shared" si="33"/>
        <v>#N/A</v>
      </c>
      <c r="AX123">
        <v>108</v>
      </c>
      <c r="AY123" t="e">
        <f>IF($H$43="3",M129,COMPUTER!P116)</f>
        <v>#N/A</v>
      </c>
      <c r="BC123">
        <v>108</v>
      </c>
      <c r="BD123" t="e">
        <f>IF(IF($B$43="Execute",M129,COMPUTER!P116)=0,"",IF(AND($H$43="3",$B$43="Execute"),M129,COMPUTER!P116))</f>
        <v>#N/A</v>
      </c>
      <c r="BK123" s="15"/>
      <c r="BL123" s="15"/>
    </row>
    <row r="124" spans="10:64">
      <c r="J124" s="50"/>
      <c r="K124" s="51">
        <v>103</v>
      </c>
      <c r="L124" s="51">
        <f>COMPUTER!P111</f>
        <v>0</v>
      </c>
      <c r="M124" s="52" t="e">
        <f t="shared" si="33"/>
        <v>#N/A</v>
      </c>
      <c r="AX124">
        <v>109</v>
      </c>
      <c r="AY124" t="e">
        <f>IF($H$43="3",M130,COMPUTER!P117)</f>
        <v>#N/A</v>
      </c>
      <c r="BC124">
        <v>109</v>
      </c>
      <c r="BD124" t="e">
        <f>IF(IF($B$43="Execute",M130,COMPUTER!P117)=0,"",IF(AND($H$43="3",$B$43="Execute"),M130,COMPUTER!P117))</f>
        <v>#N/A</v>
      </c>
      <c r="BK124" s="15"/>
      <c r="BL124" s="15"/>
    </row>
    <row r="125" spans="10:64">
      <c r="J125" s="50"/>
      <c r="K125" s="51">
        <v>104</v>
      </c>
      <c r="L125" s="51">
        <f>COMPUTER!P112</f>
        <v>0</v>
      </c>
      <c r="M125" s="52" t="e">
        <f t="shared" si="33"/>
        <v>#N/A</v>
      </c>
      <c r="AX125">
        <v>110</v>
      </c>
      <c r="AY125" t="e">
        <f>IF($H$43="3",M131,COMPUTER!P118)</f>
        <v>#N/A</v>
      </c>
      <c r="BC125">
        <v>110</v>
      </c>
      <c r="BD125" t="e">
        <f>IF(IF($B$43="Execute",M131,COMPUTER!P118)=0,"",IF(AND($H$43="3",$B$43="Execute"),M131,COMPUTER!P118))</f>
        <v>#N/A</v>
      </c>
      <c r="BK125" s="15"/>
      <c r="BL125" s="15"/>
    </row>
    <row r="126" spans="10:64">
      <c r="J126" s="50"/>
      <c r="K126" s="51">
        <v>105</v>
      </c>
      <c r="L126" s="51">
        <f>COMPUTER!P113</f>
        <v>0</v>
      </c>
      <c r="M126" s="52" t="e">
        <f t="shared" si="33"/>
        <v>#N/A</v>
      </c>
      <c r="AX126">
        <v>111</v>
      </c>
      <c r="AY126" t="e">
        <f>IF($H$43="3",M132,COMPUTER!P119)</f>
        <v>#N/A</v>
      </c>
      <c r="BC126">
        <v>111</v>
      </c>
      <c r="BD126" t="e">
        <f>IF(IF($B$43="Execute",M132,COMPUTER!P119)=0,"",IF(AND($H$43="3",$B$43="Execute"),M132,COMPUTER!P119))</f>
        <v>#N/A</v>
      </c>
      <c r="BK126" s="15"/>
      <c r="BL126" s="15"/>
    </row>
    <row r="127" spans="10:64">
      <c r="J127" s="50"/>
      <c r="K127" s="51">
        <v>106</v>
      </c>
      <c r="L127" s="51">
        <f>COMPUTER!P114</f>
        <v>0</v>
      </c>
      <c r="M127" s="52" t="e">
        <f t="shared" si="33"/>
        <v>#N/A</v>
      </c>
      <c r="AX127">
        <v>112</v>
      </c>
      <c r="AY127" t="e">
        <f>IF($H$43="3",M133,COMPUTER!P120)</f>
        <v>#N/A</v>
      </c>
      <c r="BC127">
        <v>112</v>
      </c>
      <c r="BD127" t="e">
        <f>IF(IF($B$43="Execute",M133,COMPUTER!P120)=0,"",IF(AND($H$43="3",$B$43="Execute"),M133,COMPUTER!P120))</f>
        <v>#N/A</v>
      </c>
      <c r="BK127" s="15"/>
      <c r="BL127" s="15"/>
    </row>
    <row r="128" spans="10:64">
      <c r="J128" s="50"/>
      <c r="K128" s="51">
        <v>107</v>
      </c>
      <c r="L128" s="51">
        <f>COMPUTER!P115</f>
        <v>0</v>
      </c>
      <c r="M128" s="52" t="e">
        <f t="shared" si="33"/>
        <v>#N/A</v>
      </c>
      <c r="AX128">
        <v>113</v>
      </c>
      <c r="AY128" t="e">
        <f>IF($H$43="3",M134,COMPUTER!P121)</f>
        <v>#N/A</v>
      </c>
      <c r="BC128">
        <v>113</v>
      </c>
      <c r="BD128" t="e">
        <f>IF(IF($B$43="Execute",M134,COMPUTER!P121)=0,"",IF(AND($H$43="3",$B$43="Execute"),M134,COMPUTER!P121))</f>
        <v>#N/A</v>
      </c>
      <c r="BK128" s="15"/>
      <c r="BL128" s="15"/>
    </row>
    <row r="129" spans="10:64">
      <c r="J129" s="50"/>
      <c r="K129" s="51">
        <v>108</v>
      </c>
      <c r="L129" s="51">
        <f>COMPUTER!P116</f>
        <v>0</v>
      </c>
      <c r="M129" s="52" t="e">
        <f t="shared" si="33"/>
        <v>#N/A</v>
      </c>
      <c r="AX129">
        <v>114</v>
      </c>
      <c r="AY129" t="e">
        <f>IF($H$43="3",M135,COMPUTER!P122)</f>
        <v>#N/A</v>
      </c>
      <c r="BC129">
        <v>114</v>
      </c>
      <c r="BD129" t="e">
        <f>IF(IF($B$43="Execute",M135,COMPUTER!P122)=0,"",IF(AND($H$43="3",$B$43="Execute"),M135,COMPUTER!P122))</f>
        <v>#N/A</v>
      </c>
      <c r="BK129" s="15"/>
      <c r="BL129" s="15"/>
    </row>
    <row r="130" spans="10:64">
      <c r="J130" s="50"/>
      <c r="K130" s="51">
        <v>109</v>
      </c>
      <c r="L130" s="51">
        <f>COMPUTER!P117</f>
        <v>0</v>
      </c>
      <c r="M130" s="52" t="e">
        <f t="shared" si="33"/>
        <v>#N/A</v>
      </c>
      <c r="AX130">
        <v>115</v>
      </c>
      <c r="AY130" t="e">
        <f>IF($H$43="3",M136,COMPUTER!P123)</f>
        <v>#N/A</v>
      </c>
      <c r="BC130">
        <v>115</v>
      </c>
      <c r="BD130" t="e">
        <f>IF(IF($B$43="Execute",M136,COMPUTER!P123)=0,"",IF(AND($H$43="3",$B$43="Execute"),M136,COMPUTER!P123))</f>
        <v>#N/A</v>
      </c>
      <c r="BK130" s="15"/>
      <c r="BL130" s="15"/>
    </row>
    <row r="131" spans="10:64">
      <c r="J131" s="50"/>
      <c r="K131" s="51">
        <v>110</v>
      </c>
      <c r="L131" s="51">
        <f>COMPUTER!P118</f>
        <v>0</v>
      </c>
      <c r="M131" s="52" t="e">
        <f t="shared" si="33"/>
        <v>#N/A</v>
      </c>
      <c r="AX131">
        <v>116</v>
      </c>
      <c r="AY131" t="e">
        <f>IF($H$43="3",M137,COMPUTER!P124)</f>
        <v>#N/A</v>
      </c>
      <c r="BC131">
        <v>116</v>
      </c>
      <c r="BD131" t="e">
        <f>IF(IF($B$43="Execute",M137,COMPUTER!P124)=0,"",IF(AND($H$43="3",$B$43="Execute"),M137,COMPUTER!P124))</f>
        <v>#N/A</v>
      </c>
      <c r="BK131" s="15"/>
      <c r="BL131" s="15"/>
    </row>
    <row r="132" spans="10:64">
      <c r="J132" s="50"/>
      <c r="K132" s="51">
        <v>111</v>
      </c>
      <c r="L132" s="51">
        <f>COMPUTER!P119</f>
        <v>0</v>
      </c>
      <c r="M132" s="52" t="e">
        <f t="shared" si="33"/>
        <v>#N/A</v>
      </c>
      <c r="AX132">
        <v>117</v>
      </c>
      <c r="AY132" t="e">
        <f>IF($H$43="3",M138,COMPUTER!P125)</f>
        <v>#N/A</v>
      </c>
      <c r="BC132">
        <v>117</v>
      </c>
      <c r="BD132" t="e">
        <f>IF(IF($B$43="Execute",M138,COMPUTER!P125)=0,"",IF(AND($H$43="3",$B$43="Execute"),M138,COMPUTER!P125))</f>
        <v>#N/A</v>
      </c>
      <c r="BK132" s="15"/>
      <c r="BL132" s="15"/>
    </row>
    <row r="133" spans="10:64">
      <c r="J133" s="50"/>
      <c r="K133" s="51">
        <v>112</v>
      </c>
      <c r="L133" s="51">
        <f>COMPUTER!P120</f>
        <v>0</v>
      </c>
      <c r="M133" s="52" t="e">
        <f t="shared" si="33"/>
        <v>#N/A</v>
      </c>
      <c r="AX133">
        <v>118</v>
      </c>
      <c r="AY133" t="e">
        <f>IF($H$43="3",M139,COMPUTER!P126)</f>
        <v>#N/A</v>
      </c>
      <c r="BC133">
        <v>118</v>
      </c>
      <c r="BD133" t="e">
        <f>IF(IF($B$43="Execute",M139,COMPUTER!P126)=0,"",IF(AND($H$43="3",$B$43="Execute"),M139,COMPUTER!P126))</f>
        <v>#N/A</v>
      </c>
      <c r="BK133" s="15"/>
      <c r="BL133" s="15"/>
    </row>
    <row r="134" spans="10:64">
      <c r="J134" s="50"/>
      <c r="K134" s="51">
        <v>113</v>
      </c>
      <c r="L134" s="51">
        <f>COMPUTER!P121</f>
        <v>0</v>
      </c>
      <c r="M134" s="52" t="e">
        <f t="shared" si="33"/>
        <v>#N/A</v>
      </c>
      <c r="AX134">
        <v>119</v>
      </c>
      <c r="AY134" t="e">
        <f>IF($H$43="3",M140,COMPUTER!P127)</f>
        <v>#N/A</v>
      </c>
      <c r="BC134">
        <v>119</v>
      </c>
      <c r="BD134" t="e">
        <f>IF(IF($B$43="Execute",M140,COMPUTER!P127)=0,"",IF(AND($H$43="3",$B$43="Execute"),M140,COMPUTER!P127))</f>
        <v>#N/A</v>
      </c>
      <c r="BK134" s="15"/>
      <c r="BL134" s="15"/>
    </row>
    <row r="135" spans="10:64">
      <c r="J135" s="50"/>
      <c r="K135" s="51">
        <v>114</v>
      </c>
      <c r="L135" s="51">
        <f>COMPUTER!P122</f>
        <v>0</v>
      </c>
      <c r="M135" s="52" t="e">
        <f t="shared" si="33"/>
        <v>#N/A</v>
      </c>
      <c r="AX135">
        <v>120</v>
      </c>
      <c r="AY135" t="e">
        <f>IF($H$43="3",M141,COMPUTER!P128)</f>
        <v>#N/A</v>
      </c>
      <c r="BC135">
        <v>120</v>
      </c>
      <c r="BD135" t="e">
        <f>IF(IF($B$43="Execute",M141,COMPUTER!P128)=0,"",IF(AND($H$43="3",$B$43="Execute"),M141,COMPUTER!P128))</f>
        <v>#N/A</v>
      </c>
      <c r="BK135" s="15"/>
      <c r="BL135" s="15"/>
    </row>
    <row r="136" spans="10:64">
      <c r="J136" s="50"/>
      <c r="K136" s="51">
        <v>115</v>
      </c>
      <c r="L136" s="51">
        <f>COMPUTER!P123</f>
        <v>0</v>
      </c>
      <c r="M136" s="52" t="e">
        <f t="shared" si="33"/>
        <v>#N/A</v>
      </c>
      <c r="AX136">
        <v>121</v>
      </c>
      <c r="AY136" t="e">
        <f>IF($H$43="3",M142,COMPUTER!P129)</f>
        <v>#N/A</v>
      </c>
      <c r="BC136">
        <v>121</v>
      </c>
      <c r="BD136" t="e">
        <f>IF(IF($B$43="Execute",M142,COMPUTER!P129)=0,"",IF(AND($H$43="3",$B$43="Execute"),M142,COMPUTER!P129))</f>
        <v>#N/A</v>
      </c>
      <c r="BK136" s="15"/>
      <c r="BL136" s="15"/>
    </row>
    <row r="137" spans="10:64">
      <c r="J137" s="50"/>
      <c r="K137" s="51">
        <v>116</v>
      </c>
      <c r="L137" s="51">
        <f>COMPUTER!P124</f>
        <v>0</v>
      </c>
      <c r="M137" s="52" t="e">
        <f t="shared" si="33"/>
        <v>#N/A</v>
      </c>
      <c r="AX137">
        <v>122</v>
      </c>
      <c r="AY137" t="e">
        <f>IF($H$43="3",M143,COMPUTER!P130)</f>
        <v>#N/A</v>
      </c>
      <c r="BC137">
        <v>122</v>
      </c>
      <c r="BD137" t="e">
        <f>IF(IF($B$43="Execute",M143,COMPUTER!P130)=0,"",IF(AND($H$43="3",$B$43="Execute"),M143,COMPUTER!P130))</f>
        <v>#N/A</v>
      </c>
      <c r="BK137" s="15"/>
      <c r="BL137" s="15"/>
    </row>
    <row r="138" spans="10:64">
      <c r="J138" s="50"/>
      <c r="K138" s="51">
        <v>117</v>
      </c>
      <c r="L138" s="51">
        <f>COMPUTER!P125</f>
        <v>0</v>
      </c>
      <c r="M138" s="52" t="e">
        <f t="shared" si="33"/>
        <v>#N/A</v>
      </c>
      <c r="AX138">
        <v>123</v>
      </c>
      <c r="AY138" t="e">
        <f>IF($H$43="3",M144,COMPUTER!P131)</f>
        <v>#N/A</v>
      </c>
      <c r="BC138">
        <v>123</v>
      </c>
      <c r="BD138" t="e">
        <f>IF(IF($B$43="Execute",M144,COMPUTER!P131)=0,"",IF(AND($H$43="3",$B$43="Execute"),M144,COMPUTER!P131))</f>
        <v>#N/A</v>
      </c>
      <c r="BK138" s="15"/>
      <c r="BL138" s="15"/>
    </row>
    <row r="139" spans="10:64">
      <c r="J139" s="50"/>
      <c r="K139" s="51">
        <v>118</v>
      </c>
      <c r="L139" s="51">
        <f>COMPUTER!P126</f>
        <v>0</v>
      </c>
      <c r="M139" s="52" t="e">
        <f t="shared" si="33"/>
        <v>#N/A</v>
      </c>
      <c r="AX139">
        <v>124</v>
      </c>
      <c r="AY139" t="e">
        <f>IF($H$43="3",M145,COMPUTER!P132)</f>
        <v>#N/A</v>
      </c>
      <c r="BC139">
        <v>124</v>
      </c>
      <c r="BD139" t="e">
        <f>IF(IF($B$43="Execute",M145,COMPUTER!P132)=0,"",IF(AND($H$43="3",$B$43="Execute"),M145,COMPUTER!P132))</f>
        <v>#N/A</v>
      </c>
      <c r="BK139" s="15"/>
      <c r="BL139" s="15"/>
    </row>
    <row r="140" spans="10:64">
      <c r="J140" s="50"/>
      <c r="K140" s="51">
        <v>119</v>
      </c>
      <c r="L140" s="51">
        <f>COMPUTER!P127</f>
        <v>0</v>
      </c>
      <c r="M140" s="52" t="e">
        <f t="shared" si="33"/>
        <v>#N/A</v>
      </c>
      <c r="AX140">
        <v>125</v>
      </c>
      <c r="AY140" t="e">
        <f>IF($H$43="3",M146,COMPUTER!P133)</f>
        <v>#N/A</v>
      </c>
      <c r="BC140">
        <v>125</v>
      </c>
      <c r="BD140" t="e">
        <f>IF(IF($B$43="Execute",M146,COMPUTER!P133)=0,"",IF(AND($H$43="3",$B$43="Execute"),M146,COMPUTER!P133))</f>
        <v>#N/A</v>
      </c>
      <c r="BK140" s="15"/>
      <c r="BL140" s="15"/>
    </row>
    <row r="141" spans="10:64">
      <c r="J141" s="50"/>
      <c r="K141" s="51">
        <v>120</v>
      </c>
      <c r="L141" s="51">
        <f>COMPUTER!P128</f>
        <v>0</v>
      </c>
      <c r="M141" s="52" t="e">
        <f t="shared" si="33"/>
        <v>#N/A</v>
      </c>
      <c r="AX141">
        <v>126</v>
      </c>
      <c r="AY141" t="e">
        <f>IF($H$43="3",M147,COMPUTER!P134)</f>
        <v>#N/A</v>
      </c>
      <c r="BC141">
        <v>126</v>
      </c>
      <c r="BD141" t="e">
        <f>IF(IF($B$43="Execute",M147,COMPUTER!P134)=0,"",IF(AND($H$43="3",$B$43="Execute"),M147,COMPUTER!P134))</f>
        <v>#N/A</v>
      </c>
      <c r="BK141" s="15"/>
      <c r="BL141" s="15"/>
    </row>
    <row r="142" spans="10:64">
      <c r="J142" s="50"/>
      <c r="K142" s="51">
        <v>121</v>
      </c>
      <c r="L142" s="51">
        <f>COMPUTER!P129</f>
        <v>0</v>
      </c>
      <c r="M142" s="52" t="e">
        <f t="shared" si="33"/>
        <v>#N/A</v>
      </c>
      <c r="AX142">
        <v>127</v>
      </c>
      <c r="AY142" t="e">
        <f>IF($H$43="3",M148,COMPUTER!P135)</f>
        <v>#N/A</v>
      </c>
      <c r="BC142">
        <v>127</v>
      </c>
      <c r="BD142" t="e">
        <f>IF(IF($B$43="Execute",M148,COMPUTER!P135)=0,"",IF(AND($H$43="3",$B$43="Execute"),M148,COMPUTER!P135))</f>
        <v>#N/A</v>
      </c>
      <c r="BK142" s="15"/>
      <c r="BL142" s="15"/>
    </row>
    <row r="143" spans="10:64">
      <c r="J143" s="50"/>
      <c r="K143" s="51">
        <v>122</v>
      </c>
      <c r="L143" s="51">
        <f>COMPUTER!P130</f>
        <v>0</v>
      </c>
      <c r="M143" s="52" t="e">
        <f t="shared" si="33"/>
        <v>#N/A</v>
      </c>
      <c r="AX143">
        <v>128</v>
      </c>
      <c r="AY143" t="e">
        <f>IF($H$43="3",M149,COMPUTER!P136)</f>
        <v>#N/A</v>
      </c>
      <c r="BC143">
        <v>128</v>
      </c>
      <c r="BD143" t="e">
        <f>IF(IF($B$43="Execute",M149,COMPUTER!P136)=0,"",IF(AND($H$43="3",$B$43="Execute"),M149,COMPUTER!P136))</f>
        <v>#N/A</v>
      </c>
      <c r="BK143" s="15"/>
      <c r="BL143" s="15"/>
    </row>
    <row r="144" spans="10:64">
      <c r="J144" s="50"/>
      <c r="K144" s="51">
        <v>123</v>
      </c>
      <c r="L144" s="51">
        <f>COMPUTER!P131</f>
        <v>0</v>
      </c>
      <c r="M144" s="52" t="e">
        <f t="shared" si="33"/>
        <v>#N/A</v>
      </c>
      <c r="AX144">
        <v>129</v>
      </c>
      <c r="AY144" t="e">
        <f>IF($H$43="3",M150,COMPUTER!P137)</f>
        <v>#N/A</v>
      </c>
      <c r="BC144">
        <v>129</v>
      </c>
      <c r="BD144" t="e">
        <f>IF(IF($B$43="Execute",M150,COMPUTER!P137)=0,"",IF(AND($H$43="3",$B$43="Execute"),M150,COMPUTER!P137))</f>
        <v>#N/A</v>
      </c>
      <c r="BK144" s="15"/>
      <c r="BL144" s="15"/>
    </row>
    <row r="145" spans="10:64">
      <c r="J145" s="50"/>
      <c r="K145" s="51">
        <v>124</v>
      </c>
      <c r="L145" s="51">
        <f>COMPUTER!P132</f>
        <v>0</v>
      </c>
      <c r="M145" s="52" t="e">
        <f t="shared" si="33"/>
        <v>#N/A</v>
      </c>
      <c r="AX145">
        <v>130</v>
      </c>
      <c r="AY145" t="e">
        <f>IF($H$43="3",M151,COMPUTER!P138)</f>
        <v>#N/A</v>
      </c>
      <c r="BC145">
        <v>130</v>
      </c>
      <c r="BD145" t="e">
        <f>IF(IF($B$43="Execute",M151,COMPUTER!P138)=0,"",IF(AND($H$43="3",$B$43="Execute"),M151,COMPUTER!P138))</f>
        <v>#N/A</v>
      </c>
      <c r="BK145" s="15"/>
      <c r="BL145" s="15"/>
    </row>
    <row r="146" spans="10:64">
      <c r="J146" s="50"/>
      <c r="K146" s="51">
        <v>125</v>
      </c>
      <c r="L146" s="51">
        <f>COMPUTER!P133</f>
        <v>0</v>
      </c>
      <c r="M146" s="52" t="e">
        <f t="shared" si="33"/>
        <v>#N/A</v>
      </c>
      <c r="AX146">
        <v>131</v>
      </c>
      <c r="AY146" t="e">
        <f>IF($H$43="3",M152,COMPUTER!P139)</f>
        <v>#N/A</v>
      </c>
      <c r="BC146">
        <v>131</v>
      </c>
      <c r="BD146" t="e">
        <f>IF(IF($B$43="Execute",M152,COMPUTER!P139)=0,"",IF(AND($H$43="3",$B$43="Execute"),M152,COMPUTER!P139))</f>
        <v>#N/A</v>
      </c>
      <c r="BK146" s="15"/>
      <c r="BL146" s="15"/>
    </row>
    <row r="147" spans="10:64">
      <c r="J147" s="50"/>
      <c r="K147" s="51">
        <v>126</v>
      </c>
      <c r="L147" s="51">
        <f>COMPUTER!P134</f>
        <v>0</v>
      </c>
      <c r="M147" s="52" t="e">
        <f t="shared" si="33"/>
        <v>#N/A</v>
      </c>
      <c r="AX147">
        <v>132</v>
      </c>
      <c r="AY147" t="e">
        <f>IF($H$43="3",M153,COMPUTER!P140)</f>
        <v>#N/A</v>
      </c>
      <c r="BC147">
        <v>132</v>
      </c>
      <c r="BD147" t="e">
        <f>IF(IF($B$43="Execute",M153,COMPUTER!P140)=0,"",IF(AND($H$43="3",$B$43="Execute"),M153,COMPUTER!P140))</f>
        <v>#N/A</v>
      </c>
      <c r="BK147" s="15"/>
      <c r="BL147" s="15"/>
    </row>
    <row r="148" spans="10:64">
      <c r="J148" s="50"/>
      <c r="K148" s="51">
        <v>127</v>
      </c>
      <c r="L148" s="51">
        <f>COMPUTER!P135</f>
        <v>0</v>
      </c>
      <c r="M148" s="52" t="e">
        <f t="shared" si="33"/>
        <v>#N/A</v>
      </c>
      <c r="AX148">
        <v>133</v>
      </c>
      <c r="AY148" t="e">
        <f>IF($H$43="3",M154,COMPUTER!P141)</f>
        <v>#N/A</v>
      </c>
      <c r="BC148">
        <v>133</v>
      </c>
      <c r="BD148" t="e">
        <f>IF(IF($B$43="Execute",M154,COMPUTER!P141)=0,"",IF(AND($H$43="3",$B$43="Execute"),M154,COMPUTER!P141))</f>
        <v>#N/A</v>
      </c>
      <c r="BK148" s="15"/>
      <c r="BL148" s="15"/>
    </row>
    <row r="149" spans="10:64">
      <c r="J149" s="50"/>
      <c r="K149" s="51">
        <v>128</v>
      </c>
      <c r="L149" s="51">
        <f>COMPUTER!P136</f>
        <v>0</v>
      </c>
      <c r="M149" s="52" t="e">
        <f t="shared" si="33"/>
        <v>#N/A</v>
      </c>
      <c r="AX149">
        <v>134</v>
      </c>
      <c r="AY149" t="e">
        <f>IF($H$43="3",M155,COMPUTER!P142)</f>
        <v>#N/A</v>
      </c>
      <c r="BC149">
        <v>134</v>
      </c>
      <c r="BD149" t="e">
        <f>IF(IF($B$43="Execute",M155,COMPUTER!P142)=0,"",IF(AND($H$43="3",$B$43="Execute"),M155,COMPUTER!P142))</f>
        <v>#N/A</v>
      </c>
      <c r="BK149" s="15"/>
      <c r="BL149" s="15"/>
    </row>
    <row r="150" spans="10:64">
      <c r="J150" s="50"/>
      <c r="K150" s="51">
        <v>129</v>
      </c>
      <c r="L150" s="51">
        <f>COMPUTER!P137</f>
        <v>0</v>
      </c>
      <c r="M150" s="52" t="e">
        <f t="shared" ref="M150:M213" si="34">IF(K150=$K$17,$M$17,L150)</f>
        <v>#N/A</v>
      </c>
      <c r="AX150">
        <v>135</v>
      </c>
      <c r="AY150" t="e">
        <f>IF($H$43="3",M156,COMPUTER!P143)</f>
        <v>#N/A</v>
      </c>
      <c r="BC150">
        <v>135</v>
      </c>
      <c r="BD150" t="e">
        <f>IF(IF($B$43="Execute",M156,COMPUTER!P143)=0,"",IF(AND($H$43="3",$B$43="Execute"),M156,COMPUTER!P143))</f>
        <v>#N/A</v>
      </c>
      <c r="BK150" s="15"/>
      <c r="BL150" s="15"/>
    </row>
    <row r="151" spans="10:64">
      <c r="J151" s="50"/>
      <c r="K151" s="51">
        <v>130</v>
      </c>
      <c r="L151" s="51">
        <f>COMPUTER!P138</f>
        <v>0</v>
      </c>
      <c r="M151" s="52" t="e">
        <f t="shared" si="34"/>
        <v>#N/A</v>
      </c>
      <c r="AX151">
        <v>136</v>
      </c>
      <c r="AY151" t="e">
        <f>IF($H$43="3",M157,COMPUTER!P144)</f>
        <v>#N/A</v>
      </c>
      <c r="BC151">
        <v>136</v>
      </c>
      <c r="BD151" t="e">
        <f>IF(IF($B$43="Execute",M157,COMPUTER!P144)=0,"",IF(AND($H$43="3",$B$43="Execute"),M157,COMPUTER!P144))</f>
        <v>#N/A</v>
      </c>
      <c r="BK151" s="15"/>
      <c r="BL151" s="15"/>
    </row>
    <row r="152" spans="10:64">
      <c r="J152" s="50"/>
      <c r="K152" s="51">
        <v>131</v>
      </c>
      <c r="L152" s="51">
        <f>COMPUTER!P139</f>
        <v>0</v>
      </c>
      <c r="M152" s="52" t="e">
        <f t="shared" si="34"/>
        <v>#N/A</v>
      </c>
      <c r="AX152">
        <v>137</v>
      </c>
      <c r="AY152" t="e">
        <f>IF($H$43="3",M158,COMPUTER!P145)</f>
        <v>#N/A</v>
      </c>
      <c r="BC152">
        <v>137</v>
      </c>
      <c r="BD152" t="e">
        <f>IF(IF($B$43="Execute",M158,COMPUTER!P145)=0,"",IF(AND($H$43="3",$B$43="Execute"),M158,COMPUTER!P145))</f>
        <v>#N/A</v>
      </c>
      <c r="BK152" s="15"/>
      <c r="BL152" s="15"/>
    </row>
    <row r="153" spans="10:64">
      <c r="J153" s="50"/>
      <c r="K153" s="51">
        <v>132</v>
      </c>
      <c r="L153" s="51">
        <f>COMPUTER!P140</f>
        <v>0</v>
      </c>
      <c r="M153" s="52" t="e">
        <f t="shared" si="34"/>
        <v>#N/A</v>
      </c>
      <c r="AX153">
        <v>138</v>
      </c>
      <c r="AY153" t="e">
        <f>IF($H$43="3",M159,COMPUTER!P146)</f>
        <v>#N/A</v>
      </c>
      <c r="BC153">
        <v>138</v>
      </c>
      <c r="BD153" t="e">
        <f>IF(IF($B$43="Execute",M159,COMPUTER!P146)=0,"",IF(AND($H$43="3",$B$43="Execute"),M159,COMPUTER!P146))</f>
        <v>#N/A</v>
      </c>
      <c r="BK153" s="15"/>
      <c r="BL153" s="15"/>
    </row>
    <row r="154" spans="10:64">
      <c r="J154" s="50"/>
      <c r="K154" s="51">
        <v>133</v>
      </c>
      <c r="L154" s="51">
        <f>COMPUTER!P141</f>
        <v>0</v>
      </c>
      <c r="M154" s="52" t="e">
        <f t="shared" si="34"/>
        <v>#N/A</v>
      </c>
      <c r="AX154">
        <v>139</v>
      </c>
      <c r="AY154" t="e">
        <f>IF($H$43="3",M160,COMPUTER!P147)</f>
        <v>#N/A</v>
      </c>
      <c r="BC154">
        <v>139</v>
      </c>
      <c r="BD154" t="e">
        <f>IF(IF($B$43="Execute",M160,COMPUTER!P147)=0,"",IF(AND($H$43="3",$B$43="Execute"),M160,COMPUTER!P147))</f>
        <v>#N/A</v>
      </c>
      <c r="BK154" s="15"/>
      <c r="BL154" s="15"/>
    </row>
    <row r="155" spans="10:64">
      <c r="J155" s="50"/>
      <c r="K155" s="51">
        <v>134</v>
      </c>
      <c r="L155" s="51">
        <f>COMPUTER!P142</f>
        <v>0</v>
      </c>
      <c r="M155" s="52" t="e">
        <f t="shared" si="34"/>
        <v>#N/A</v>
      </c>
      <c r="AX155">
        <v>140</v>
      </c>
      <c r="AY155" t="e">
        <f>IF($H$43="3",M161,COMPUTER!P148)</f>
        <v>#N/A</v>
      </c>
      <c r="BC155">
        <v>140</v>
      </c>
      <c r="BD155" t="e">
        <f>IF(IF($B$43="Execute",M161,COMPUTER!P148)=0,"",IF(AND($H$43="3",$B$43="Execute"),M161,COMPUTER!P148))</f>
        <v>#N/A</v>
      </c>
      <c r="BK155" s="15"/>
      <c r="BL155" s="15"/>
    </row>
    <row r="156" spans="10:64">
      <c r="J156" s="50"/>
      <c r="K156" s="51">
        <v>135</v>
      </c>
      <c r="L156" s="51">
        <f>COMPUTER!P143</f>
        <v>0</v>
      </c>
      <c r="M156" s="52" t="e">
        <f t="shared" si="34"/>
        <v>#N/A</v>
      </c>
      <c r="AX156">
        <v>141</v>
      </c>
      <c r="AY156" t="e">
        <f>IF($H$43="3",M162,COMPUTER!P149)</f>
        <v>#N/A</v>
      </c>
      <c r="BC156">
        <v>141</v>
      </c>
      <c r="BD156" t="e">
        <f>IF(IF($B$43="Execute",M162,COMPUTER!P149)=0,"",IF(AND($H$43="3",$B$43="Execute"),M162,COMPUTER!P149))</f>
        <v>#N/A</v>
      </c>
      <c r="BK156" s="15"/>
      <c r="BL156" s="15"/>
    </row>
    <row r="157" spans="10:64">
      <c r="J157" s="50"/>
      <c r="K157" s="51">
        <v>136</v>
      </c>
      <c r="L157" s="51">
        <f>COMPUTER!P144</f>
        <v>0</v>
      </c>
      <c r="M157" s="52" t="e">
        <f t="shared" si="34"/>
        <v>#N/A</v>
      </c>
      <c r="AX157">
        <v>142</v>
      </c>
      <c r="AY157" t="e">
        <f>IF($H$43="3",M163,COMPUTER!P150)</f>
        <v>#N/A</v>
      </c>
      <c r="BC157">
        <v>142</v>
      </c>
      <c r="BD157" t="e">
        <f>IF(IF($B$43="Execute",M163,COMPUTER!P150)=0,"",IF(AND($H$43="3",$B$43="Execute"),M163,COMPUTER!P150))</f>
        <v>#N/A</v>
      </c>
      <c r="BK157" s="15"/>
      <c r="BL157" s="15"/>
    </row>
    <row r="158" spans="10:64">
      <c r="J158" s="50"/>
      <c r="K158" s="51">
        <v>137</v>
      </c>
      <c r="L158" s="51">
        <f>COMPUTER!P145</f>
        <v>0</v>
      </c>
      <c r="M158" s="52" t="e">
        <f t="shared" si="34"/>
        <v>#N/A</v>
      </c>
      <c r="AX158">
        <v>143</v>
      </c>
      <c r="AY158" t="e">
        <f>IF($H$43="3",M164,COMPUTER!P151)</f>
        <v>#N/A</v>
      </c>
      <c r="BC158">
        <v>143</v>
      </c>
      <c r="BD158" t="e">
        <f>IF(IF($B$43="Execute",M164,COMPUTER!P151)=0,"",IF(AND($H$43="3",$B$43="Execute"),M164,COMPUTER!P151))</f>
        <v>#N/A</v>
      </c>
      <c r="BK158" s="15"/>
      <c r="BL158" s="15"/>
    </row>
    <row r="159" spans="10:64">
      <c r="J159" s="50"/>
      <c r="K159" s="51">
        <v>138</v>
      </c>
      <c r="L159" s="51">
        <f>COMPUTER!P146</f>
        <v>0</v>
      </c>
      <c r="M159" s="52" t="e">
        <f t="shared" si="34"/>
        <v>#N/A</v>
      </c>
      <c r="AX159">
        <v>144</v>
      </c>
      <c r="AY159" t="e">
        <f>IF($H$43="3",M165,COMPUTER!P152)</f>
        <v>#N/A</v>
      </c>
      <c r="BC159">
        <v>144</v>
      </c>
      <c r="BD159" t="e">
        <f>IF(IF($B$43="Execute",M165,COMPUTER!P152)=0,"",IF(AND($H$43="3",$B$43="Execute"),M165,COMPUTER!P152))</f>
        <v>#N/A</v>
      </c>
      <c r="BK159" s="15"/>
      <c r="BL159" s="15"/>
    </row>
    <row r="160" spans="10:64">
      <c r="J160" s="50"/>
      <c r="K160" s="51">
        <v>139</v>
      </c>
      <c r="L160" s="51">
        <f>COMPUTER!P147</f>
        <v>0</v>
      </c>
      <c r="M160" s="52" t="e">
        <f t="shared" si="34"/>
        <v>#N/A</v>
      </c>
      <c r="AX160">
        <v>145</v>
      </c>
      <c r="AY160" t="e">
        <f>IF($H$43="3",M166,COMPUTER!P153)</f>
        <v>#N/A</v>
      </c>
      <c r="BC160">
        <v>145</v>
      </c>
      <c r="BD160" t="e">
        <f>IF(IF($B$43="Execute",M166,COMPUTER!P153)=0,"",IF(AND($H$43="3",$B$43="Execute"),M166,COMPUTER!P153))</f>
        <v>#N/A</v>
      </c>
      <c r="BK160" s="15"/>
      <c r="BL160" s="15"/>
    </row>
    <row r="161" spans="10:64">
      <c r="J161" s="50"/>
      <c r="K161" s="51">
        <v>140</v>
      </c>
      <c r="L161" s="51">
        <f>COMPUTER!P148</f>
        <v>0</v>
      </c>
      <c r="M161" s="52" t="e">
        <f t="shared" si="34"/>
        <v>#N/A</v>
      </c>
      <c r="AX161">
        <v>146</v>
      </c>
      <c r="AY161" t="e">
        <f>IF($H$43="3",M167,COMPUTER!P154)</f>
        <v>#N/A</v>
      </c>
      <c r="BC161">
        <v>146</v>
      </c>
      <c r="BD161" t="e">
        <f>IF(IF($B$43="Execute",M167,COMPUTER!P154)=0,"",IF(AND($H$43="3",$B$43="Execute"),M167,COMPUTER!P154))</f>
        <v>#N/A</v>
      </c>
      <c r="BK161" s="15"/>
      <c r="BL161" s="15"/>
    </row>
    <row r="162" spans="10:64">
      <c r="J162" s="50"/>
      <c r="K162" s="51">
        <v>141</v>
      </c>
      <c r="L162" s="51">
        <f>COMPUTER!P149</f>
        <v>0</v>
      </c>
      <c r="M162" s="52" t="e">
        <f t="shared" si="34"/>
        <v>#N/A</v>
      </c>
      <c r="AX162">
        <v>147</v>
      </c>
      <c r="AY162" t="e">
        <f>IF($H$43="3",M168,COMPUTER!P155)</f>
        <v>#N/A</v>
      </c>
      <c r="BC162">
        <v>147</v>
      </c>
      <c r="BD162" t="e">
        <f>IF(IF($B$43="Execute",M168,COMPUTER!P155)=0,"",IF(AND($H$43="3",$B$43="Execute"),M168,COMPUTER!P155))</f>
        <v>#N/A</v>
      </c>
      <c r="BK162" s="15"/>
      <c r="BL162" s="15"/>
    </row>
    <row r="163" spans="10:64">
      <c r="J163" s="50"/>
      <c r="K163" s="51">
        <v>142</v>
      </c>
      <c r="L163" s="51">
        <f>COMPUTER!P150</f>
        <v>0</v>
      </c>
      <c r="M163" s="52" t="e">
        <f t="shared" si="34"/>
        <v>#N/A</v>
      </c>
      <c r="AX163">
        <v>148</v>
      </c>
      <c r="AY163" t="e">
        <f>IF($H$43="3",M169,COMPUTER!P156)</f>
        <v>#N/A</v>
      </c>
      <c r="BC163">
        <v>148</v>
      </c>
      <c r="BD163" t="e">
        <f>IF(IF($B$43="Execute",M169,COMPUTER!P156)=0,"",IF(AND($H$43="3",$B$43="Execute"),M169,COMPUTER!P156))</f>
        <v>#N/A</v>
      </c>
      <c r="BK163" s="15"/>
      <c r="BL163" s="15"/>
    </row>
    <row r="164" spans="10:64">
      <c r="J164" s="50"/>
      <c r="K164" s="51">
        <v>143</v>
      </c>
      <c r="L164" s="51">
        <f>COMPUTER!P151</f>
        <v>0</v>
      </c>
      <c r="M164" s="52" t="e">
        <f t="shared" si="34"/>
        <v>#N/A</v>
      </c>
      <c r="AX164">
        <v>149</v>
      </c>
      <c r="AY164" t="e">
        <f>IF($H$43="3",M170,COMPUTER!P157)</f>
        <v>#N/A</v>
      </c>
      <c r="BC164">
        <v>149</v>
      </c>
      <c r="BD164" t="e">
        <f>IF(IF($B$43="Execute",M170,COMPUTER!P157)=0,"",IF(AND($H$43="3",$B$43="Execute"),M170,COMPUTER!P157))</f>
        <v>#N/A</v>
      </c>
      <c r="BK164" s="15"/>
      <c r="BL164" s="15"/>
    </row>
    <row r="165" spans="10:64">
      <c r="J165" s="50"/>
      <c r="K165" s="51">
        <v>144</v>
      </c>
      <c r="L165" s="51">
        <f>COMPUTER!P152</f>
        <v>0</v>
      </c>
      <c r="M165" s="52" t="e">
        <f t="shared" si="34"/>
        <v>#N/A</v>
      </c>
      <c r="AX165">
        <v>150</v>
      </c>
      <c r="AY165" t="e">
        <f>IF($H$43="3",M171,COMPUTER!P158)</f>
        <v>#N/A</v>
      </c>
      <c r="BC165">
        <v>150</v>
      </c>
      <c r="BD165" t="e">
        <f>IF(IF($B$43="Execute",M171,COMPUTER!P158)=0,"",IF(AND($H$43="3",$B$43="Execute"),M171,COMPUTER!P158))</f>
        <v>#N/A</v>
      </c>
      <c r="BK165" s="15"/>
      <c r="BL165" s="15"/>
    </row>
    <row r="166" spans="10:64">
      <c r="J166" s="50"/>
      <c r="K166" s="51">
        <v>145</v>
      </c>
      <c r="L166" s="51">
        <f>COMPUTER!P153</f>
        <v>0</v>
      </c>
      <c r="M166" s="52" t="e">
        <f t="shared" si="34"/>
        <v>#N/A</v>
      </c>
      <c r="AX166">
        <v>151</v>
      </c>
      <c r="AY166" t="e">
        <f>IF($H$43="3",M172,COMPUTER!P159)</f>
        <v>#N/A</v>
      </c>
      <c r="BC166">
        <v>151</v>
      </c>
      <c r="BD166" t="e">
        <f>IF(IF($B$43="Execute",M172,COMPUTER!P159)=0,"",IF(AND($H$43="3",$B$43="Execute"),M172,COMPUTER!P159))</f>
        <v>#N/A</v>
      </c>
      <c r="BK166" s="15"/>
      <c r="BL166" s="15"/>
    </row>
    <row r="167" spans="10:64">
      <c r="J167" s="50"/>
      <c r="K167" s="51">
        <v>146</v>
      </c>
      <c r="L167" s="51">
        <f>COMPUTER!P154</f>
        <v>0</v>
      </c>
      <c r="M167" s="52" t="e">
        <f t="shared" si="34"/>
        <v>#N/A</v>
      </c>
      <c r="AX167">
        <v>152</v>
      </c>
      <c r="AY167" t="e">
        <f>IF($H$43="3",M173,COMPUTER!P160)</f>
        <v>#N/A</v>
      </c>
      <c r="BC167">
        <v>152</v>
      </c>
      <c r="BD167" t="e">
        <f>IF(IF($B$43="Execute",M173,COMPUTER!P160)=0,"",IF(AND($H$43="3",$B$43="Execute"),M173,COMPUTER!P160))</f>
        <v>#N/A</v>
      </c>
      <c r="BK167" s="15"/>
      <c r="BL167" s="15"/>
    </row>
    <row r="168" spans="10:64">
      <c r="J168" s="50"/>
      <c r="K168" s="51">
        <v>147</v>
      </c>
      <c r="L168" s="51">
        <f>COMPUTER!P155</f>
        <v>0</v>
      </c>
      <c r="M168" s="52" t="e">
        <f t="shared" si="34"/>
        <v>#N/A</v>
      </c>
      <c r="AX168">
        <v>153</v>
      </c>
      <c r="AY168" t="e">
        <f>IF($H$43="3",M174,COMPUTER!P161)</f>
        <v>#N/A</v>
      </c>
      <c r="BC168">
        <v>153</v>
      </c>
      <c r="BD168" t="e">
        <f>IF(IF($B$43="Execute",M174,COMPUTER!P161)=0,"",IF(AND($H$43="3",$B$43="Execute"),M174,COMPUTER!P161))</f>
        <v>#N/A</v>
      </c>
      <c r="BK168" s="15"/>
      <c r="BL168" s="15"/>
    </row>
    <row r="169" spans="10:64">
      <c r="J169" s="50"/>
      <c r="K169" s="51">
        <v>148</v>
      </c>
      <c r="L169" s="51">
        <f>COMPUTER!P156</f>
        <v>0</v>
      </c>
      <c r="M169" s="52" t="e">
        <f t="shared" si="34"/>
        <v>#N/A</v>
      </c>
      <c r="AX169">
        <v>154</v>
      </c>
      <c r="AY169" t="e">
        <f>IF($H$43="3",M175,COMPUTER!P162)</f>
        <v>#N/A</v>
      </c>
      <c r="BC169">
        <v>154</v>
      </c>
      <c r="BD169" t="e">
        <f>IF(IF($B$43="Execute",M175,COMPUTER!P162)=0,"",IF(AND($H$43="3",$B$43="Execute"),M175,COMPUTER!P162))</f>
        <v>#N/A</v>
      </c>
      <c r="BK169" s="15"/>
      <c r="BL169" s="15"/>
    </row>
    <row r="170" spans="10:64">
      <c r="J170" s="50"/>
      <c r="K170" s="51">
        <v>149</v>
      </c>
      <c r="L170" s="51">
        <f>COMPUTER!P157</f>
        <v>0</v>
      </c>
      <c r="M170" s="52" t="e">
        <f t="shared" si="34"/>
        <v>#N/A</v>
      </c>
      <c r="AX170">
        <v>155</v>
      </c>
      <c r="AY170" t="e">
        <f>IF($H$43="3",M176,COMPUTER!P163)</f>
        <v>#N/A</v>
      </c>
      <c r="BC170">
        <v>155</v>
      </c>
      <c r="BD170" t="e">
        <f>IF(IF($B$43="Execute",M176,COMPUTER!P163)=0,"",IF(AND($H$43="3",$B$43="Execute"),M176,COMPUTER!P163))</f>
        <v>#N/A</v>
      </c>
      <c r="BK170" s="15"/>
      <c r="BL170" s="15"/>
    </row>
    <row r="171" spans="10:64">
      <c r="J171" s="50"/>
      <c r="K171" s="51">
        <v>150</v>
      </c>
      <c r="L171" s="51">
        <f>COMPUTER!P158</f>
        <v>0</v>
      </c>
      <c r="M171" s="52" t="e">
        <f t="shared" si="34"/>
        <v>#N/A</v>
      </c>
      <c r="AX171">
        <v>156</v>
      </c>
      <c r="AY171" t="e">
        <f>IF($H$43="3",M177,COMPUTER!P164)</f>
        <v>#N/A</v>
      </c>
      <c r="BC171">
        <v>156</v>
      </c>
      <c r="BD171" t="e">
        <f>IF(IF($B$43="Execute",M177,COMPUTER!P164)=0,"",IF(AND($H$43="3",$B$43="Execute"),M177,COMPUTER!P164))</f>
        <v>#N/A</v>
      </c>
      <c r="BK171" s="15"/>
      <c r="BL171" s="15"/>
    </row>
    <row r="172" spans="10:64">
      <c r="J172" s="50"/>
      <c r="K172" s="51">
        <v>151</v>
      </c>
      <c r="L172" s="51">
        <f>COMPUTER!P159</f>
        <v>0</v>
      </c>
      <c r="M172" s="52" t="e">
        <f t="shared" si="34"/>
        <v>#N/A</v>
      </c>
      <c r="AX172">
        <v>157</v>
      </c>
      <c r="AY172" t="e">
        <f>IF($H$43="3",M178,COMPUTER!P165)</f>
        <v>#N/A</v>
      </c>
      <c r="BC172">
        <v>157</v>
      </c>
      <c r="BD172" t="e">
        <f>IF(IF($B$43="Execute",M178,COMPUTER!P165)=0,"",IF(AND($H$43="3",$B$43="Execute"),M178,COMPUTER!P165))</f>
        <v>#N/A</v>
      </c>
      <c r="BK172" s="15"/>
      <c r="BL172" s="15"/>
    </row>
    <row r="173" spans="10:64">
      <c r="J173" s="50"/>
      <c r="K173" s="51">
        <v>152</v>
      </c>
      <c r="L173" s="51">
        <f>COMPUTER!P160</f>
        <v>0</v>
      </c>
      <c r="M173" s="52" t="e">
        <f t="shared" si="34"/>
        <v>#N/A</v>
      </c>
      <c r="AX173">
        <v>158</v>
      </c>
      <c r="AY173" t="e">
        <f>IF($H$43="3",M179,COMPUTER!P166)</f>
        <v>#N/A</v>
      </c>
      <c r="BC173">
        <v>158</v>
      </c>
      <c r="BD173" t="e">
        <f>IF(IF($B$43="Execute",M179,COMPUTER!P166)=0,"",IF(AND($H$43="3",$B$43="Execute"),M179,COMPUTER!P166))</f>
        <v>#N/A</v>
      </c>
      <c r="BK173" s="15"/>
      <c r="BL173" s="15"/>
    </row>
    <row r="174" spans="10:64">
      <c r="J174" s="50"/>
      <c r="K174" s="51">
        <v>153</v>
      </c>
      <c r="L174" s="51">
        <f>COMPUTER!P161</f>
        <v>0</v>
      </c>
      <c r="M174" s="52" t="e">
        <f t="shared" si="34"/>
        <v>#N/A</v>
      </c>
      <c r="AX174">
        <v>159</v>
      </c>
      <c r="AY174" t="e">
        <f>IF($H$43="3",M180,COMPUTER!P167)</f>
        <v>#N/A</v>
      </c>
      <c r="BC174">
        <v>159</v>
      </c>
      <c r="BD174" t="e">
        <f>IF(IF($B$43="Execute",M180,COMPUTER!P167)=0,"",IF(AND($H$43="3",$B$43="Execute"),M180,COMPUTER!P167))</f>
        <v>#N/A</v>
      </c>
      <c r="BK174" s="15"/>
      <c r="BL174" s="15"/>
    </row>
    <row r="175" spans="10:64">
      <c r="J175" s="50"/>
      <c r="K175" s="51">
        <v>154</v>
      </c>
      <c r="L175" s="51">
        <f>COMPUTER!P162</f>
        <v>0</v>
      </c>
      <c r="M175" s="52" t="e">
        <f t="shared" si="34"/>
        <v>#N/A</v>
      </c>
      <c r="AX175">
        <v>160</v>
      </c>
      <c r="AY175" t="e">
        <f>IF($H$43="3",M181,COMPUTER!P168)</f>
        <v>#N/A</v>
      </c>
      <c r="BC175">
        <v>160</v>
      </c>
      <c r="BD175" t="e">
        <f>IF(IF($B$43="Execute",M181,COMPUTER!P168)=0,"",IF(AND($H$43="3",$B$43="Execute"),M181,COMPUTER!P168))</f>
        <v>#N/A</v>
      </c>
      <c r="BK175" s="15"/>
      <c r="BL175" s="15"/>
    </row>
    <row r="176" spans="10:64">
      <c r="J176" s="50"/>
      <c r="K176" s="51">
        <v>155</v>
      </c>
      <c r="L176" s="51">
        <f>COMPUTER!P163</f>
        <v>0</v>
      </c>
      <c r="M176" s="52" t="e">
        <f t="shared" si="34"/>
        <v>#N/A</v>
      </c>
      <c r="AX176">
        <v>161</v>
      </c>
      <c r="AY176" t="e">
        <f>IF($H$43="3",M182,COMPUTER!P169)</f>
        <v>#N/A</v>
      </c>
      <c r="BC176">
        <v>161</v>
      </c>
      <c r="BD176" t="e">
        <f>IF(IF($B$43="Execute",M182,COMPUTER!P169)=0,"",IF(AND($H$43="3",$B$43="Execute"),M182,COMPUTER!P169))</f>
        <v>#N/A</v>
      </c>
      <c r="BK176" s="15"/>
      <c r="BL176" s="15"/>
    </row>
    <row r="177" spans="10:64">
      <c r="J177" s="50"/>
      <c r="K177" s="51">
        <v>156</v>
      </c>
      <c r="L177" s="51">
        <f>COMPUTER!P164</f>
        <v>0</v>
      </c>
      <c r="M177" s="52" t="e">
        <f t="shared" si="34"/>
        <v>#N/A</v>
      </c>
      <c r="AX177">
        <v>162</v>
      </c>
      <c r="AY177" t="e">
        <f>IF($H$43="3",M183,COMPUTER!P170)</f>
        <v>#N/A</v>
      </c>
      <c r="BC177">
        <v>162</v>
      </c>
      <c r="BD177" t="e">
        <f>IF(IF($B$43="Execute",M183,COMPUTER!P170)=0,"",IF(AND($H$43="3",$B$43="Execute"),M183,COMPUTER!P170))</f>
        <v>#N/A</v>
      </c>
      <c r="BK177" s="15"/>
      <c r="BL177" s="15"/>
    </row>
    <row r="178" spans="10:64">
      <c r="J178" s="50"/>
      <c r="K178" s="51">
        <v>157</v>
      </c>
      <c r="L178" s="51">
        <f>COMPUTER!P165</f>
        <v>0</v>
      </c>
      <c r="M178" s="52" t="e">
        <f t="shared" si="34"/>
        <v>#N/A</v>
      </c>
      <c r="AX178">
        <v>163</v>
      </c>
      <c r="AY178" t="e">
        <f>IF($H$43="3",M184,COMPUTER!P171)</f>
        <v>#N/A</v>
      </c>
      <c r="BC178">
        <v>163</v>
      </c>
      <c r="BD178" t="e">
        <f>IF(IF($B$43="Execute",M184,COMPUTER!P171)=0,"",IF(AND($H$43="3",$B$43="Execute"),M184,COMPUTER!P171))</f>
        <v>#N/A</v>
      </c>
      <c r="BK178" s="15"/>
      <c r="BL178" s="15"/>
    </row>
    <row r="179" spans="10:64">
      <c r="J179" s="50"/>
      <c r="K179" s="51">
        <v>158</v>
      </c>
      <c r="L179" s="51">
        <f>COMPUTER!P166</f>
        <v>0</v>
      </c>
      <c r="M179" s="52" t="e">
        <f t="shared" si="34"/>
        <v>#N/A</v>
      </c>
      <c r="AX179">
        <v>164</v>
      </c>
      <c r="AY179" t="e">
        <f>IF($H$43="3",M185,COMPUTER!P172)</f>
        <v>#N/A</v>
      </c>
      <c r="BC179">
        <v>164</v>
      </c>
      <c r="BD179" t="e">
        <f>IF(IF($B$43="Execute",M185,COMPUTER!P172)=0,"",IF(AND($H$43="3",$B$43="Execute"),M185,COMPUTER!P172))</f>
        <v>#N/A</v>
      </c>
      <c r="BK179" s="15"/>
      <c r="BL179" s="15"/>
    </row>
    <row r="180" spans="10:64">
      <c r="J180" s="50"/>
      <c r="K180" s="51">
        <v>159</v>
      </c>
      <c r="L180" s="51">
        <f>COMPUTER!P167</f>
        <v>0</v>
      </c>
      <c r="M180" s="52" t="e">
        <f t="shared" si="34"/>
        <v>#N/A</v>
      </c>
      <c r="AX180">
        <v>165</v>
      </c>
      <c r="AY180" t="e">
        <f>IF($H$43="3",M186,COMPUTER!P173)</f>
        <v>#N/A</v>
      </c>
      <c r="BC180">
        <v>165</v>
      </c>
      <c r="BD180" t="e">
        <f>IF(IF($B$43="Execute",M186,COMPUTER!P173)=0,"",IF(AND($H$43="3",$B$43="Execute"),M186,COMPUTER!P173))</f>
        <v>#N/A</v>
      </c>
      <c r="BK180" s="15"/>
      <c r="BL180" s="15"/>
    </row>
    <row r="181" spans="10:64">
      <c r="J181" s="50"/>
      <c r="K181" s="51">
        <v>160</v>
      </c>
      <c r="L181" s="51">
        <f>COMPUTER!P168</f>
        <v>0</v>
      </c>
      <c r="M181" s="52" t="e">
        <f t="shared" si="34"/>
        <v>#N/A</v>
      </c>
      <c r="AX181">
        <v>166</v>
      </c>
      <c r="AY181" t="e">
        <f>IF($H$43="3",M187,COMPUTER!P174)</f>
        <v>#N/A</v>
      </c>
      <c r="BC181">
        <v>166</v>
      </c>
      <c r="BD181" t="e">
        <f>IF(IF($B$43="Execute",M187,COMPUTER!P174)=0,"",IF(AND($H$43="3",$B$43="Execute"),M187,COMPUTER!P174))</f>
        <v>#N/A</v>
      </c>
      <c r="BK181" s="15"/>
      <c r="BL181" s="15"/>
    </row>
    <row r="182" spans="10:64">
      <c r="J182" s="50"/>
      <c r="K182" s="51">
        <v>161</v>
      </c>
      <c r="L182" s="51">
        <f>COMPUTER!P169</f>
        <v>0</v>
      </c>
      <c r="M182" s="52" t="e">
        <f t="shared" si="34"/>
        <v>#N/A</v>
      </c>
      <c r="AX182">
        <v>167</v>
      </c>
      <c r="AY182" t="e">
        <f>IF($H$43="3",M188,COMPUTER!P175)</f>
        <v>#N/A</v>
      </c>
      <c r="BC182">
        <v>167</v>
      </c>
      <c r="BD182" t="e">
        <f>IF(IF($B$43="Execute",M188,COMPUTER!P175)=0,"",IF(AND($H$43="3",$B$43="Execute"),M188,COMPUTER!P175))</f>
        <v>#N/A</v>
      </c>
      <c r="BK182" s="15"/>
      <c r="BL182" s="15"/>
    </row>
    <row r="183" spans="10:64">
      <c r="J183" s="50"/>
      <c r="K183" s="51">
        <v>162</v>
      </c>
      <c r="L183" s="51">
        <f>COMPUTER!P170</f>
        <v>0</v>
      </c>
      <c r="M183" s="52" t="e">
        <f t="shared" si="34"/>
        <v>#N/A</v>
      </c>
      <c r="AX183">
        <v>168</v>
      </c>
      <c r="AY183" t="e">
        <f>IF($H$43="3",M189,COMPUTER!P176)</f>
        <v>#N/A</v>
      </c>
      <c r="BC183">
        <v>168</v>
      </c>
      <c r="BD183" t="e">
        <f>IF(IF($B$43="Execute",M189,COMPUTER!P176)=0,"",IF(AND($H$43="3",$B$43="Execute"),M189,COMPUTER!P176))</f>
        <v>#N/A</v>
      </c>
      <c r="BK183" s="15"/>
      <c r="BL183" s="15"/>
    </row>
    <row r="184" spans="10:64">
      <c r="J184" s="50"/>
      <c r="K184" s="51">
        <v>163</v>
      </c>
      <c r="L184" s="51">
        <f>COMPUTER!P171</f>
        <v>0</v>
      </c>
      <c r="M184" s="52" t="e">
        <f t="shared" si="34"/>
        <v>#N/A</v>
      </c>
      <c r="AX184">
        <v>169</v>
      </c>
      <c r="AY184" t="e">
        <f>IF($H$43="3",M190,COMPUTER!P177)</f>
        <v>#N/A</v>
      </c>
      <c r="BC184">
        <v>169</v>
      </c>
      <c r="BD184" t="e">
        <f>IF(IF($B$43="Execute",M190,COMPUTER!P177)=0,"",IF(AND($H$43="3",$B$43="Execute"),M190,COMPUTER!P177))</f>
        <v>#N/A</v>
      </c>
      <c r="BK184" s="15"/>
      <c r="BL184" s="15"/>
    </row>
    <row r="185" spans="10:64">
      <c r="J185" s="50"/>
      <c r="K185" s="51">
        <v>164</v>
      </c>
      <c r="L185" s="51">
        <f>COMPUTER!P172</f>
        <v>0</v>
      </c>
      <c r="M185" s="52" t="e">
        <f t="shared" si="34"/>
        <v>#N/A</v>
      </c>
      <c r="AX185">
        <v>170</v>
      </c>
      <c r="AY185" t="e">
        <f>IF($H$43="3",M191,COMPUTER!P178)</f>
        <v>#N/A</v>
      </c>
      <c r="BC185">
        <v>170</v>
      </c>
      <c r="BD185" t="e">
        <f>IF(IF($B$43="Execute",M191,COMPUTER!P178)=0,"",IF(AND($H$43="3",$B$43="Execute"),M191,COMPUTER!P178))</f>
        <v>#N/A</v>
      </c>
      <c r="BK185" s="15"/>
      <c r="BL185" s="15"/>
    </row>
    <row r="186" spans="10:64">
      <c r="J186" s="50"/>
      <c r="K186" s="51">
        <v>165</v>
      </c>
      <c r="L186" s="51">
        <f>COMPUTER!P173</f>
        <v>0</v>
      </c>
      <c r="M186" s="52" t="e">
        <f t="shared" si="34"/>
        <v>#N/A</v>
      </c>
      <c r="AX186">
        <v>171</v>
      </c>
      <c r="AY186" t="e">
        <f>IF($H$43="3",M192,COMPUTER!P179)</f>
        <v>#N/A</v>
      </c>
      <c r="BC186">
        <v>171</v>
      </c>
      <c r="BD186" t="e">
        <f>IF(IF($B$43="Execute",M192,COMPUTER!P179)=0,"",IF(AND($H$43="3",$B$43="Execute"),M192,COMPUTER!P179))</f>
        <v>#N/A</v>
      </c>
      <c r="BK186" s="15"/>
      <c r="BL186" s="15"/>
    </row>
    <row r="187" spans="10:64">
      <c r="J187" s="50"/>
      <c r="K187" s="51">
        <v>166</v>
      </c>
      <c r="L187" s="51">
        <f>COMPUTER!P174</f>
        <v>0</v>
      </c>
      <c r="M187" s="52" t="e">
        <f t="shared" si="34"/>
        <v>#N/A</v>
      </c>
      <c r="AX187">
        <v>172</v>
      </c>
      <c r="AY187" t="e">
        <f>IF($H$43="3",M193,COMPUTER!P180)</f>
        <v>#N/A</v>
      </c>
      <c r="BC187">
        <v>172</v>
      </c>
      <c r="BD187" t="e">
        <f>IF(IF($B$43="Execute",M193,COMPUTER!P180)=0,"",IF(AND($H$43="3",$B$43="Execute"),M193,COMPUTER!P180))</f>
        <v>#N/A</v>
      </c>
      <c r="BK187" s="15"/>
      <c r="BL187" s="15"/>
    </row>
    <row r="188" spans="10:64">
      <c r="J188" s="50"/>
      <c r="K188" s="51">
        <v>167</v>
      </c>
      <c r="L188" s="51">
        <f>COMPUTER!P175</f>
        <v>0</v>
      </c>
      <c r="M188" s="52" t="e">
        <f t="shared" si="34"/>
        <v>#N/A</v>
      </c>
      <c r="AX188">
        <v>173</v>
      </c>
      <c r="AY188" t="e">
        <f>IF($H$43="3",M194,COMPUTER!P181)</f>
        <v>#N/A</v>
      </c>
      <c r="BC188">
        <v>173</v>
      </c>
      <c r="BD188" t="e">
        <f>IF(IF($B$43="Execute",M194,COMPUTER!P181)=0,"",IF(AND($H$43="3",$B$43="Execute"),M194,COMPUTER!P181))</f>
        <v>#N/A</v>
      </c>
      <c r="BK188" s="15"/>
      <c r="BL188" s="15"/>
    </row>
    <row r="189" spans="10:64">
      <c r="J189" s="50"/>
      <c r="K189" s="51">
        <v>168</v>
      </c>
      <c r="L189" s="51">
        <f>COMPUTER!P176</f>
        <v>0</v>
      </c>
      <c r="M189" s="52" t="e">
        <f t="shared" si="34"/>
        <v>#N/A</v>
      </c>
      <c r="AX189">
        <v>174</v>
      </c>
      <c r="AY189" t="e">
        <f>IF($H$43="3",M195,COMPUTER!P182)</f>
        <v>#N/A</v>
      </c>
      <c r="BC189">
        <v>174</v>
      </c>
      <c r="BD189" t="e">
        <f>IF(IF($B$43="Execute",M195,COMPUTER!P182)=0,"",IF(AND($H$43="3",$B$43="Execute"),M195,COMPUTER!P182))</f>
        <v>#N/A</v>
      </c>
      <c r="BK189" s="15"/>
      <c r="BL189" s="15"/>
    </row>
    <row r="190" spans="10:64">
      <c r="J190" s="50"/>
      <c r="K190" s="51">
        <v>169</v>
      </c>
      <c r="L190" s="51">
        <f>COMPUTER!P177</f>
        <v>0</v>
      </c>
      <c r="M190" s="52" t="e">
        <f t="shared" si="34"/>
        <v>#N/A</v>
      </c>
      <c r="AX190">
        <v>175</v>
      </c>
      <c r="AY190" t="e">
        <f>IF($H$43="3",M196,COMPUTER!P183)</f>
        <v>#N/A</v>
      </c>
      <c r="BC190">
        <v>175</v>
      </c>
      <c r="BD190" t="e">
        <f>IF(IF($B$43="Execute",M196,COMPUTER!P183)=0,"",IF(AND($H$43="3",$B$43="Execute"),M196,COMPUTER!P183))</f>
        <v>#N/A</v>
      </c>
      <c r="BK190" s="15"/>
      <c r="BL190" s="15"/>
    </row>
    <row r="191" spans="10:64">
      <c r="J191" s="50"/>
      <c r="K191" s="51">
        <v>170</v>
      </c>
      <c r="L191" s="51">
        <f>COMPUTER!P178</f>
        <v>0</v>
      </c>
      <c r="M191" s="52" t="e">
        <f t="shared" si="34"/>
        <v>#N/A</v>
      </c>
      <c r="AX191">
        <v>176</v>
      </c>
      <c r="AY191" t="e">
        <f>IF($H$43="3",M197,COMPUTER!P184)</f>
        <v>#N/A</v>
      </c>
      <c r="BC191">
        <v>176</v>
      </c>
      <c r="BD191" t="e">
        <f>IF(IF($B$43="Execute",M197,COMPUTER!P184)=0,"",IF(AND($H$43="3",$B$43="Execute"),M197,COMPUTER!P184))</f>
        <v>#N/A</v>
      </c>
      <c r="BK191" s="15"/>
      <c r="BL191" s="15"/>
    </row>
    <row r="192" spans="10:64">
      <c r="J192" s="50"/>
      <c r="K192" s="51">
        <v>171</v>
      </c>
      <c r="L192" s="51">
        <f>COMPUTER!P179</f>
        <v>0</v>
      </c>
      <c r="M192" s="52" t="e">
        <f t="shared" si="34"/>
        <v>#N/A</v>
      </c>
      <c r="AX192">
        <v>177</v>
      </c>
      <c r="AY192" t="e">
        <f>IF($H$43="3",M198,COMPUTER!P185)</f>
        <v>#N/A</v>
      </c>
      <c r="BC192">
        <v>177</v>
      </c>
      <c r="BD192" t="e">
        <f>IF(IF($B$43="Execute",M198,COMPUTER!P185)=0,"",IF(AND($H$43="3",$B$43="Execute"),M198,COMPUTER!P185))</f>
        <v>#N/A</v>
      </c>
      <c r="BK192" s="15"/>
      <c r="BL192" s="15"/>
    </row>
    <row r="193" spans="10:64">
      <c r="J193" s="50"/>
      <c r="K193" s="51">
        <v>172</v>
      </c>
      <c r="L193" s="51">
        <f>COMPUTER!P180</f>
        <v>0</v>
      </c>
      <c r="M193" s="52" t="e">
        <f t="shared" si="34"/>
        <v>#N/A</v>
      </c>
      <c r="AX193">
        <v>178</v>
      </c>
      <c r="AY193" t="e">
        <f>IF($H$43="3",M199,COMPUTER!P186)</f>
        <v>#N/A</v>
      </c>
      <c r="BC193">
        <v>178</v>
      </c>
      <c r="BD193" t="e">
        <f>IF(IF($B$43="Execute",M199,COMPUTER!P186)=0,"",IF(AND($H$43="3",$B$43="Execute"),M199,COMPUTER!P186))</f>
        <v>#N/A</v>
      </c>
      <c r="BK193" s="15"/>
      <c r="BL193" s="15"/>
    </row>
    <row r="194" spans="10:64">
      <c r="J194" s="50"/>
      <c r="K194" s="51">
        <v>173</v>
      </c>
      <c r="L194" s="51">
        <f>COMPUTER!P181</f>
        <v>0</v>
      </c>
      <c r="M194" s="52" t="e">
        <f t="shared" si="34"/>
        <v>#N/A</v>
      </c>
      <c r="AX194">
        <v>179</v>
      </c>
      <c r="AY194" t="e">
        <f>IF($H$43="3",M200,COMPUTER!P187)</f>
        <v>#N/A</v>
      </c>
      <c r="BC194">
        <v>179</v>
      </c>
      <c r="BD194" t="e">
        <f>IF(IF($B$43="Execute",M200,COMPUTER!P187)=0,"",IF(AND($H$43="3",$B$43="Execute"),M200,COMPUTER!P187))</f>
        <v>#N/A</v>
      </c>
      <c r="BK194" s="15"/>
      <c r="BL194" s="15"/>
    </row>
    <row r="195" spans="10:64">
      <c r="J195" s="50"/>
      <c r="K195" s="51">
        <v>174</v>
      </c>
      <c r="L195" s="51">
        <f>COMPUTER!P182</f>
        <v>0</v>
      </c>
      <c r="M195" s="52" t="e">
        <f t="shared" si="34"/>
        <v>#N/A</v>
      </c>
      <c r="AX195">
        <v>180</v>
      </c>
      <c r="AY195" t="e">
        <f>IF($H$43="3",M201,COMPUTER!P188)</f>
        <v>#N/A</v>
      </c>
      <c r="BC195">
        <v>180</v>
      </c>
      <c r="BD195" t="e">
        <f>IF(IF($B$43="Execute",M201,COMPUTER!P188)=0,"",IF(AND($H$43="3",$B$43="Execute"),M201,COMPUTER!P188))</f>
        <v>#N/A</v>
      </c>
      <c r="BK195" s="15"/>
      <c r="BL195" s="15"/>
    </row>
    <row r="196" spans="10:64">
      <c r="J196" s="50"/>
      <c r="K196" s="51">
        <v>175</v>
      </c>
      <c r="L196" s="51">
        <f>COMPUTER!P183</f>
        <v>0</v>
      </c>
      <c r="M196" s="52" t="e">
        <f t="shared" si="34"/>
        <v>#N/A</v>
      </c>
      <c r="AX196">
        <v>181</v>
      </c>
      <c r="AY196" t="e">
        <f>IF($H$43="3",M202,COMPUTER!P189)</f>
        <v>#N/A</v>
      </c>
      <c r="BC196">
        <v>181</v>
      </c>
      <c r="BD196" t="e">
        <f>IF(IF($B$43="Execute",M202,COMPUTER!P189)=0,"",IF(AND($H$43="3",$B$43="Execute"),M202,COMPUTER!P189))</f>
        <v>#N/A</v>
      </c>
      <c r="BK196" s="15"/>
      <c r="BL196" s="15"/>
    </row>
    <row r="197" spans="10:64">
      <c r="J197" s="50"/>
      <c r="K197" s="51">
        <v>176</v>
      </c>
      <c r="L197" s="51">
        <f>COMPUTER!P184</f>
        <v>0</v>
      </c>
      <c r="M197" s="52" t="e">
        <f t="shared" si="34"/>
        <v>#N/A</v>
      </c>
      <c r="AX197">
        <v>182</v>
      </c>
      <c r="AY197" t="e">
        <f>IF($H$43="3",M203,COMPUTER!P190)</f>
        <v>#N/A</v>
      </c>
      <c r="BC197">
        <v>182</v>
      </c>
      <c r="BD197" t="e">
        <f>IF(IF($B$43="Execute",M203,COMPUTER!P190)=0,"",IF(AND($H$43="3",$B$43="Execute"),M203,COMPUTER!P190))</f>
        <v>#N/A</v>
      </c>
      <c r="BK197" s="15"/>
      <c r="BL197" s="15"/>
    </row>
    <row r="198" spans="10:64">
      <c r="J198" s="50"/>
      <c r="K198" s="51">
        <v>177</v>
      </c>
      <c r="L198" s="51">
        <f>COMPUTER!P185</f>
        <v>0</v>
      </c>
      <c r="M198" s="52" t="e">
        <f t="shared" si="34"/>
        <v>#N/A</v>
      </c>
      <c r="AX198">
        <v>183</v>
      </c>
      <c r="AY198" t="e">
        <f>IF($H$43="3",M204,COMPUTER!P191)</f>
        <v>#N/A</v>
      </c>
      <c r="BC198">
        <v>183</v>
      </c>
      <c r="BD198" t="e">
        <f>IF(IF($B$43="Execute",M204,COMPUTER!P191)=0,"",IF(AND($H$43="3",$B$43="Execute"),M204,COMPUTER!P191))</f>
        <v>#N/A</v>
      </c>
      <c r="BK198" s="15"/>
      <c r="BL198" s="15"/>
    </row>
    <row r="199" spans="10:64">
      <c r="J199" s="50"/>
      <c r="K199" s="51">
        <v>178</v>
      </c>
      <c r="L199" s="51">
        <f>COMPUTER!P186</f>
        <v>0</v>
      </c>
      <c r="M199" s="52" t="e">
        <f t="shared" si="34"/>
        <v>#N/A</v>
      </c>
      <c r="AX199">
        <v>184</v>
      </c>
      <c r="AY199" t="e">
        <f>IF($H$43="3",M205,COMPUTER!P192)</f>
        <v>#N/A</v>
      </c>
      <c r="BC199">
        <v>184</v>
      </c>
      <c r="BD199" t="e">
        <f>IF(IF($B$43="Execute",M205,COMPUTER!P192)=0,"",IF(AND($H$43="3",$B$43="Execute"),M205,COMPUTER!P192))</f>
        <v>#N/A</v>
      </c>
      <c r="BK199" s="15"/>
      <c r="BL199" s="15"/>
    </row>
    <row r="200" spans="10:64">
      <c r="J200" s="50"/>
      <c r="K200" s="51">
        <v>179</v>
      </c>
      <c r="L200" s="51">
        <f>COMPUTER!P187</f>
        <v>0</v>
      </c>
      <c r="M200" s="52" t="e">
        <f t="shared" si="34"/>
        <v>#N/A</v>
      </c>
      <c r="AX200">
        <v>185</v>
      </c>
      <c r="AY200" t="e">
        <f>IF($H$43="3",M206,COMPUTER!P193)</f>
        <v>#N/A</v>
      </c>
      <c r="BC200">
        <v>185</v>
      </c>
      <c r="BD200" t="e">
        <f>IF(IF($B$43="Execute",M206,COMPUTER!P193)=0,"",IF(AND($H$43="3",$B$43="Execute"),M206,COMPUTER!P193))</f>
        <v>#N/A</v>
      </c>
      <c r="BK200" s="15"/>
      <c r="BL200" s="15"/>
    </row>
    <row r="201" spans="10:64">
      <c r="J201" s="50"/>
      <c r="K201" s="51">
        <v>180</v>
      </c>
      <c r="L201" s="51">
        <f>COMPUTER!P188</f>
        <v>0</v>
      </c>
      <c r="M201" s="52" t="e">
        <f t="shared" si="34"/>
        <v>#N/A</v>
      </c>
      <c r="AX201">
        <v>186</v>
      </c>
      <c r="AY201" t="e">
        <f>IF($H$43="3",M207,COMPUTER!P194)</f>
        <v>#N/A</v>
      </c>
      <c r="BC201">
        <v>186</v>
      </c>
      <c r="BD201" t="e">
        <f>IF(IF($B$43="Execute",M207,COMPUTER!P194)=0,"",IF(AND($H$43="3",$B$43="Execute"),M207,COMPUTER!P194))</f>
        <v>#N/A</v>
      </c>
      <c r="BK201" s="15"/>
      <c r="BL201" s="15"/>
    </row>
    <row r="202" spans="10:64">
      <c r="J202" s="50"/>
      <c r="K202" s="51">
        <v>181</v>
      </c>
      <c r="L202" s="51">
        <f>COMPUTER!P189</f>
        <v>0</v>
      </c>
      <c r="M202" s="52" t="e">
        <f t="shared" si="34"/>
        <v>#N/A</v>
      </c>
      <c r="AX202">
        <v>187</v>
      </c>
      <c r="AY202" t="e">
        <f>IF($H$43="3",M208,COMPUTER!P195)</f>
        <v>#N/A</v>
      </c>
      <c r="BC202">
        <v>187</v>
      </c>
      <c r="BD202" t="e">
        <f>IF(IF($B$43="Execute",M208,COMPUTER!P195)=0,"",IF(AND($H$43="3",$B$43="Execute"),M208,COMPUTER!P195))</f>
        <v>#N/A</v>
      </c>
      <c r="BK202" s="15"/>
      <c r="BL202" s="15"/>
    </row>
    <row r="203" spans="10:64">
      <c r="J203" s="50"/>
      <c r="K203" s="51">
        <v>182</v>
      </c>
      <c r="L203" s="51">
        <f>COMPUTER!P190</f>
        <v>0</v>
      </c>
      <c r="M203" s="52" t="e">
        <f t="shared" si="34"/>
        <v>#N/A</v>
      </c>
      <c r="AX203">
        <v>188</v>
      </c>
      <c r="AY203" t="e">
        <f>IF($H$43="3",M209,COMPUTER!P196)</f>
        <v>#N/A</v>
      </c>
      <c r="BC203">
        <v>188</v>
      </c>
      <c r="BD203" t="e">
        <f>IF(IF($B$43="Execute",M209,COMPUTER!P196)=0,"",IF(AND($H$43="3",$B$43="Execute"),M209,COMPUTER!P196))</f>
        <v>#N/A</v>
      </c>
      <c r="BK203" s="15"/>
      <c r="BL203" s="15"/>
    </row>
    <row r="204" spans="10:64">
      <c r="J204" s="50"/>
      <c r="K204" s="51">
        <v>183</v>
      </c>
      <c r="L204" s="51">
        <f>COMPUTER!P191</f>
        <v>0</v>
      </c>
      <c r="M204" s="52" t="e">
        <f t="shared" si="34"/>
        <v>#N/A</v>
      </c>
      <c r="AX204">
        <v>189</v>
      </c>
      <c r="AY204" t="e">
        <f>IF($H$43="3",M210,COMPUTER!P197)</f>
        <v>#N/A</v>
      </c>
      <c r="BC204">
        <v>189</v>
      </c>
      <c r="BD204" t="e">
        <f>IF(IF($B$43="Execute",M210,COMPUTER!P197)=0,"",IF(AND($H$43="3",$B$43="Execute"),M210,COMPUTER!P197))</f>
        <v>#N/A</v>
      </c>
      <c r="BK204" s="15"/>
      <c r="BL204" s="15"/>
    </row>
    <row r="205" spans="10:64">
      <c r="J205" s="50"/>
      <c r="K205" s="51">
        <v>184</v>
      </c>
      <c r="L205" s="51">
        <f>COMPUTER!P192</f>
        <v>0</v>
      </c>
      <c r="M205" s="52" t="e">
        <f t="shared" si="34"/>
        <v>#N/A</v>
      </c>
      <c r="AX205">
        <v>190</v>
      </c>
      <c r="AY205" t="e">
        <f>IF($H$43="3",M211,COMPUTER!P198)</f>
        <v>#N/A</v>
      </c>
      <c r="BC205">
        <v>190</v>
      </c>
      <c r="BD205" t="e">
        <f>IF(IF($B$43="Execute",M211,COMPUTER!P198)=0,"",IF(AND($H$43="3",$B$43="Execute"),M211,COMPUTER!P198))</f>
        <v>#N/A</v>
      </c>
      <c r="BK205" s="15"/>
      <c r="BL205" s="15"/>
    </row>
    <row r="206" spans="10:64">
      <c r="J206" s="50"/>
      <c r="K206" s="51">
        <v>185</v>
      </c>
      <c r="L206" s="51">
        <f>COMPUTER!P193</f>
        <v>0</v>
      </c>
      <c r="M206" s="52" t="e">
        <f t="shared" si="34"/>
        <v>#N/A</v>
      </c>
      <c r="AX206">
        <v>191</v>
      </c>
      <c r="AY206" t="e">
        <f>IF($H$43="3",M212,COMPUTER!P199)</f>
        <v>#N/A</v>
      </c>
      <c r="BC206">
        <v>191</v>
      </c>
      <c r="BD206" t="e">
        <f>IF(IF($B$43="Execute",M212,COMPUTER!P199)=0,"",IF(AND($H$43="3",$B$43="Execute"),M212,COMPUTER!P199))</f>
        <v>#N/A</v>
      </c>
      <c r="BK206" s="15"/>
      <c r="BL206" s="15"/>
    </row>
    <row r="207" spans="10:64">
      <c r="J207" s="50"/>
      <c r="K207" s="51">
        <v>186</v>
      </c>
      <c r="L207" s="51">
        <f>COMPUTER!P194</f>
        <v>0</v>
      </c>
      <c r="M207" s="52" t="e">
        <f t="shared" si="34"/>
        <v>#N/A</v>
      </c>
      <c r="AX207">
        <v>192</v>
      </c>
      <c r="AY207" t="e">
        <f>IF($H$43="3",M213,COMPUTER!P200)</f>
        <v>#N/A</v>
      </c>
      <c r="BC207">
        <v>192</v>
      </c>
      <c r="BD207" t="e">
        <f>IF(IF($B$43="Execute",M213,COMPUTER!P200)=0,"",IF(AND($H$43="3",$B$43="Execute"),M213,COMPUTER!P200))</f>
        <v>#N/A</v>
      </c>
      <c r="BK207" s="15"/>
      <c r="BL207" s="15"/>
    </row>
    <row r="208" spans="10:64">
      <c r="J208" s="50"/>
      <c r="K208" s="51">
        <v>187</v>
      </c>
      <c r="L208" s="51">
        <f>COMPUTER!P195</f>
        <v>0</v>
      </c>
      <c r="M208" s="52" t="e">
        <f t="shared" si="34"/>
        <v>#N/A</v>
      </c>
      <c r="AX208">
        <v>193</v>
      </c>
      <c r="AY208" t="e">
        <f>IF($H$43="3",M214,COMPUTER!P201)</f>
        <v>#N/A</v>
      </c>
      <c r="BC208">
        <v>193</v>
      </c>
      <c r="BD208" t="e">
        <f>IF(IF($B$43="Execute",M214,COMPUTER!P201)=0,"",IF(AND($H$43="3",$B$43="Execute"),M214,COMPUTER!P201))</f>
        <v>#N/A</v>
      </c>
      <c r="BK208" s="15"/>
      <c r="BL208" s="15"/>
    </row>
    <row r="209" spans="10:64">
      <c r="J209" s="50"/>
      <c r="K209" s="51">
        <v>188</v>
      </c>
      <c r="L209" s="51">
        <f>COMPUTER!P196</f>
        <v>0</v>
      </c>
      <c r="M209" s="52" t="e">
        <f t="shared" si="34"/>
        <v>#N/A</v>
      </c>
      <c r="AX209">
        <v>194</v>
      </c>
      <c r="AY209" t="e">
        <f>IF($H$43="3",M215,COMPUTER!P202)</f>
        <v>#N/A</v>
      </c>
      <c r="BC209">
        <v>194</v>
      </c>
      <c r="BD209" t="e">
        <f>IF(IF($B$43="Execute",M215,COMPUTER!P202)=0,"",IF(AND($H$43="3",$B$43="Execute"),M215,COMPUTER!P202))</f>
        <v>#N/A</v>
      </c>
      <c r="BK209" s="15"/>
      <c r="BL209" s="15"/>
    </row>
    <row r="210" spans="10:64">
      <c r="J210" s="50"/>
      <c r="K210" s="51">
        <v>189</v>
      </c>
      <c r="L210" s="51">
        <f>COMPUTER!P197</f>
        <v>0</v>
      </c>
      <c r="M210" s="52" t="e">
        <f t="shared" si="34"/>
        <v>#N/A</v>
      </c>
      <c r="AX210">
        <v>195</v>
      </c>
      <c r="AY210" t="e">
        <f>IF($H$43="3",M216,COMPUTER!P203)</f>
        <v>#N/A</v>
      </c>
      <c r="BC210">
        <v>195</v>
      </c>
      <c r="BD210" t="e">
        <f>IF(IF($B$43="Execute",M216,COMPUTER!P203)=0,"",IF(AND($H$43="3",$B$43="Execute"),M216,COMPUTER!P203))</f>
        <v>#N/A</v>
      </c>
      <c r="BK210" s="15"/>
      <c r="BL210" s="15"/>
    </row>
    <row r="211" spans="10:64">
      <c r="J211" s="50"/>
      <c r="K211" s="51">
        <v>190</v>
      </c>
      <c r="L211" s="51">
        <f>COMPUTER!P198</f>
        <v>0</v>
      </c>
      <c r="M211" s="52" t="e">
        <f t="shared" si="34"/>
        <v>#N/A</v>
      </c>
      <c r="AX211">
        <v>196</v>
      </c>
      <c r="AY211" t="e">
        <f>IF($H$43="3",M217,COMPUTER!P204)</f>
        <v>#N/A</v>
      </c>
      <c r="BC211">
        <v>196</v>
      </c>
      <c r="BD211" t="e">
        <f>IF(IF($B$43="Execute",M217,COMPUTER!P204)=0,"",IF(AND($H$43="3",$B$43="Execute"),M217,COMPUTER!P204))</f>
        <v>#N/A</v>
      </c>
      <c r="BK211" s="15"/>
      <c r="BL211" s="15"/>
    </row>
    <row r="212" spans="10:64">
      <c r="J212" s="50"/>
      <c r="K212" s="51">
        <v>191</v>
      </c>
      <c r="L212" s="51">
        <f>COMPUTER!P199</f>
        <v>0</v>
      </c>
      <c r="M212" s="52" t="e">
        <f t="shared" si="34"/>
        <v>#N/A</v>
      </c>
      <c r="AX212">
        <v>197</v>
      </c>
      <c r="AY212" t="e">
        <f>IF($H$43="3",M218,COMPUTER!P205)</f>
        <v>#N/A</v>
      </c>
      <c r="BC212">
        <v>197</v>
      </c>
      <c r="BD212" t="e">
        <f>IF(IF($B$43="Execute",M218,COMPUTER!P205)=0,"",IF(AND($H$43="3",$B$43="Execute"),M218,COMPUTER!P205))</f>
        <v>#N/A</v>
      </c>
      <c r="BK212" s="15"/>
      <c r="BL212" s="15"/>
    </row>
    <row r="213" spans="10:64">
      <c r="J213" s="50"/>
      <c r="K213" s="51">
        <v>192</v>
      </c>
      <c r="L213" s="51">
        <f>COMPUTER!P200</f>
        <v>0</v>
      </c>
      <c r="M213" s="52" t="e">
        <f t="shared" si="34"/>
        <v>#N/A</v>
      </c>
      <c r="AX213">
        <v>198</v>
      </c>
      <c r="AY213" t="e">
        <f>IF($H$43="3",M219,COMPUTER!P206)</f>
        <v>#N/A</v>
      </c>
      <c r="BC213">
        <v>198</v>
      </c>
      <c r="BD213" t="e">
        <f>IF(IF($B$43="Execute",M219,COMPUTER!P206)=0,"",IF(AND($H$43="3",$B$43="Execute"),M219,COMPUTER!P206))</f>
        <v>#N/A</v>
      </c>
      <c r="BK213" s="15"/>
      <c r="BL213" s="15"/>
    </row>
    <row r="214" spans="10:64">
      <c r="J214" s="50"/>
      <c r="K214" s="51">
        <v>193</v>
      </c>
      <c r="L214" s="51">
        <f>COMPUTER!P201</f>
        <v>0</v>
      </c>
      <c r="M214" s="52" t="e">
        <f t="shared" ref="M214:M276" si="35">IF(K214=$K$17,$M$17,L214)</f>
        <v>#N/A</v>
      </c>
      <c r="AX214">
        <v>199</v>
      </c>
      <c r="AY214" t="e">
        <f>IF($H$43="3",M220,COMPUTER!P207)</f>
        <v>#N/A</v>
      </c>
      <c r="BC214">
        <v>199</v>
      </c>
      <c r="BD214" t="e">
        <f>IF(IF($B$43="Execute",M220,COMPUTER!P207)=0,"",IF(AND($H$43="3",$B$43="Execute"),M220,COMPUTER!P207))</f>
        <v>#N/A</v>
      </c>
      <c r="BK214" s="15"/>
      <c r="BL214" s="15"/>
    </row>
    <row r="215" spans="10:64">
      <c r="J215" s="50"/>
      <c r="K215" s="51">
        <v>194</v>
      </c>
      <c r="L215" s="51">
        <f>COMPUTER!P202</f>
        <v>0</v>
      </c>
      <c r="M215" s="52" t="e">
        <f t="shared" si="35"/>
        <v>#N/A</v>
      </c>
      <c r="AX215">
        <v>200</v>
      </c>
      <c r="AY215" t="e">
        <f>IF($H$43="3",M221,COMPUTER!P208)</f>
        <v>#N/A</v>
      </c>
      <c r="BC215">
        <v>200</v>
      </c>
      <c r="BD215" t="e">
        <f>IF(IF($B$43="Execute",M221,COMPUTER!P208)=0,"",IF(AND($H$43="3",$B$43="Execute"),M221,COMPUTER!P208))</f>
        <v>#N/A</v>
      </c>
      <c r="BK215" s="15"/>
      <c r="BL215" s="15"/>
    </row>
    <row r="216" spans="10:64">
      <c r="J216" s="50"/>
      <c r="K216" s="51">
        <v>195</v>
      </c>
      <c r="L216" s="51">
        <f>COMPUTER!P203</f>
        <v>0</v>
      </c>
      <c r="M216" s="52" t="e">
        <f t="shared" si="35"/>
        <v>#N/A</v>
      </c>
      <c r="AX216">
        <v>201</v>
      </c>
      <c r="AY216" t="e">
        <f>IF($H$43="3",M222,COMPUTER!P209)</f>
        <v>#N/A</v>
      </c>
      <c r="BC216">
        <v>201</v>
      </c>
      <c r="BD216" t="e">
        <f>IF(IF($B$43="Execute",M222,COMPUTER!P209)=0,"",IF(AND($H$43="3",$B$43="Execute"),M222,COMPUTER!P209))</f>
        <v>#N/A</v>
      </c>
      <c r="BK216" s="15"/>
      <c r="BL216" s="15"/>
    </row>
    <row r="217" spans="10:64">
      <c r="J217" s="50"/>
      <c r="K217" s="51">
        <v>196</v>
      </c>
      <c r="L217" s="51">
        <f>COMPUTER!P204</f>
        <v>0</v>
      </c>
      <c r="M217" s="52" t="e">
        <f t="shared" si="35"/>
        <v>#N/A</v>
      </c>
      <c r="AX217">
        <v>202</v>
      </c>
      <c r="AY217" t="e">
        <f>IF($H$43="3",M223,COMPUTER!P210)</f>
        <v>#N/A</v>
      </c>
      <c r="BC217">
        <v>202</v>
      </c>
      <c r="BD217" t="e">
        <f>IF(IF($B$43="Execute",M223,COMPUTER!P210)=0,"",IF(AND($H$43="3",$B$43="Execute"),M223,COMPUTER!P210))</f>
        <v>#N/A</v>
      </c>
      <c r="BK217" s="15"/>
      <c r="BL217" s="15"/>
    </row>
    <row r="218" spans="10:64">
      <c r="J218" s="50"/>
      <c r="K218" s="51">
        <v>197</v>
      </c>
      <c r="L218" s="51">
        <f>COMPUTER!P205</f>
        <v>0</v>
      </c>
      <c r="M218" s="52" t="e">
        <f t="shared" si="35"/>
        <v>#N/A</v>
      </c>
      <c r="AX218">
        <v>203</v>
      </c>
      <c r="AY218" t="e">
        <f>IF($H$43="3",M224,COMPUTER!P211)</f>
        <v>#N/A</v>
      </c>
      <c r="BC218">
        <v>203</v>
      </c>
      <c r="BD218" t="e">
        <f>IF(IF($B$43="Execute",M224,COMPUTER!P211)=0,"",IF(AND($H$43="3",$B$43="Execute"),M224,COMPUTER!P211))</f>
        <v>#N/A</v>
      </c>
      <c r="BK218" s="15"/>
      <c r="BL218" s="15"/>
    </row>
    <row r="219" spans="10:64">
      <c r="J219" s="50"/>
      <c r="K219" s="51">
        <v>198</v>
      </c>
      <c r="L219" s="51">
        <f>COMPUTER!P206</f>
        <v>0</v>
      </c>
      <c r="M219" s="52" t="e">
        <f t="shared" si="35"/>
        <v>#N/A</v>
      </c>
      <c r="AX219">
        <v>204</v>
      </c>
      <c r="AY219" t="e">
        <f>IF($H$43="3",M225,COMPUTER!P212)</f>
        <v>#N/A</v>
      </c>
      <c r="BC219">
        <v>204</v>
      </c>
      <c r="BD219" t="e">
        <f>IF(IF($B$43="Execute",M225,COMPUTER!P212)=0,"",IF(AND($H$43="3",$B$43="Execute"),M225,COMPUTER!P212))</f>
        <v>#N/A</v>
      </c>
      <c r="BK219" s="15"/>
      <c r="BL219" s="15"/>
    </row>
    <row r="220" spans="10:64">
      <c r="J220" s="50"/>
      <c r="K220" s="51">
        <v>199</v>
      </c>
      <c r="L220" s="51">
        <f>COMPUTER!P207</f>
        <v>0</v>
      </c>
      <c r="M220" s="52" t="e">
        <f t="shared" si="35"/>
        <v>#N/A</v>
      </c>
      <c r="AX220">
        <v>205</v>
      </c>
      <c r="AY220" t="e">
        <f>IF($H$43="3",M226,COMPUTER!P213)</f>
        <v>#N/A</v>
      </c>
      <c r="BC220">
        <v>205</v>
      </c>
      <c r="BD220" t="e">
        <f>IF(IF($B$43="Execute",M226,COMPUTER!P213)=0,"",IF(AND($H$43="3",$B$43="Execute"),M226,COMPUTER!P213))</f>
        <v>#N/A</v>
      </c>
      <c r="BK220" s="15"/>
      <c r="BL220" s="15"/>
    </row>
    <row r="221" spans="10:64">
      <c r="J221" s="50"/>
      <c r="K221" s="51">
        <v>200</v>
      </c>
      <c r="L221" s="51">
        <f>COMPUTER!P208</f>
        <v>0</v>
      </c>
      <c r="M221" s="52" t="e">
        <f t="shared" si="35"/>
        <v>#N/A</v>
      </c>
      <c r="AX221">
        <v>206</v>
      </c>
      <c r="AY221" t="e">
        <f>IF($H$43="3",M227,COMPUTER!P214)</f>
        <v>#N/A</v>
      </c>
      <c r="BC221">
        <v>206</v>
      </c>
      <c r="BD221" t="e">
        <f>IF(IF($B$43="Execute",M227,COMPUTER!P214)=0,"",IF(AND($H$43="3",$B$43="Execute"),M227,COMPUTER!P214))</f>
        <v>#N/A</v>
      </c>
      <c r="BK221" s="15"/>
      <c r="BL221" s="15"/>
    </row>
    <row r="222" spans="10:64">
      <c r="J222" s="50"/>
      <c r="K222" s="51">
        <v>201</v>
      </c>
      <c r="L222" s="51">
        <f>COMPUTER!P209</f>
        <v>0</v>
      </c>
      <c r="M222" s="52" t="e">
        <f t="shared" si="35"/>
        <v>#N/A</v>
      </c>
      <c r="AX222">
        <v>207</v>
      </c>
      <c r="AY222" t="e">
        <f>IF($H$43="3",M228,COMPUTER!P215)</f>
        <v>#N/A</v>
      </c>
      <c r="BC222">
        <v>207</v>
      </c>
      <c r="BD222" t="e">
        <f>IF(IF($B$43="Execute",M228,COMPUTER!P215)=0,"",IF(AND($H$43="3",$B$43="Execute"),M228,COMPUTER!P215))</f>
        <v>#N/A</v>
      </c>
      <c r="BK222" s="15"/>
      <c r="BL222" s="15"/>
    </row>
    <row r="223" spans="10:64">
      <c r="J223" s="50"/>
      <c r="K223" s="51">
        <v>202</v>
      </c>
      <c r="L223" s="51">
        <f>COMPUTER!P210</f>
        <v>0</v>
      </c>
      <c r="M223" s="52" t="e">
        <f t="shared" si="35"/>
        <v>#N/A</v>
      </c>
      <c r="AX223">
        <v>208</v>
      </c>
      <c r="AY223" t="e">
        <f>IF($H$43="3",M229,COMPUTER!P216)</f>
        <v>#N/A</v>
      </c>
      <c r="BC223">
        <v>208</v>
      </c>
      <c r="BD223" t="e">
        <f>IF(IF($B$43="Execute",M229,COMPUTER!P216)=0,"",IF(AND($H$43="3",$B$43="Execute"),M229,COMPUTER!P216))</f>
        <v>#N/A</v>
      </c>
      <c r="BK223" s="15"/>
      <c r="BL223" s="15"/>
    </row>
    <row r="224" spans="10:64">
      <c r="J224" s="50"/>
      <c r="K224" s="51">
        <v>203</v>
      </c>
      <c r="L224" s="51">
        <f>COMPUTER!P211</f>
        <v>0</v>
      </c>
      <c r="M224" s="52" t="e">
        <f t="shared" si="35"/>
        <v>#N/A</v>
      </c>
      <c r="AX224">
        <v>209</v>
      </c>
      <c r="AY224" t="e">
        <f>IF($H$43="3",M230,COMPUTER!P217)</f>
        <v>#N/A</v>
      </c>
      <c r="BC224">
        <v>209</v>
      </c>
      <c r="BD224" t="e">
        <f>IF(IF($B$43="Execute",M230,COMPUTER!P217)=0,"",IF(AND($H$43="3",$B$43="Execute"),M230,COMPUTER!P217))</f>
        <v>#N/A</v>
      </c>
      <c r="BK224" s="15"/>
      <c r="BL224" s="15"/>
    </row>
    <row r="225" spans="10:64">
      <c r="J225" s="50"/>
      <c r="K225" s="51">
        <v>204</v>
      </c>
      <c r="L225" s="51">
        <f>COMPUTER!P212</f>
        <v>0</v>
      </c>
      <c r="M225" s="52" t="e">
        <f t="shared" si="35"/>
        <v>#N/A</v>
      </c>
      <c r="AX225">
        <v>210</v>
      </c>
      <c r="AY225" t="e">
        <f>IF($H$43="3",M231,COMPUTER!P218)</f>
        <v>#N/A</v>
      </c>
      <c r="BC225">
        <v>210</v>
      </c>
      <c r="BD225" t="e">
        <f>IF(IF($B$43="Execute",M231,COMPUTER!P218)=0,"",IF(AND($H$43="3",$B$43="Execute"),M231,COMPUTER!P218))</f>
        <v>#N/A</v>
      </c>
      <c r="BK225" s="15"/>
      <c r="BL225" s="15"/>
    </row>
    <row r="226" spans="10:64">
      <c r="J226" s="50"/>
      <c r="K226" s="51">
        <v>205</v>
      </c>
      <c r="L226" s="51">
        <f>COMPUTER!P213</f>
        <v>0</v>
      </c>
      <c r="M226" s="52" t="e">
        <f t="shared" si="35"/>
        <v>#N/A</v>
      </c>
      <c r="AX226">
        <v>211</v>
      </c>
      <c r="AY226" t="e">
        <f>IF($H$43="3",M232,COMPUTER!P219)</f>
        <v>#N/A</v>
      </c>
      <c r="BC226">
        <v>211</v>
      </c>
      <c r="BD226" t="e">
        <f>IF(IF($B$43="Execute",M232,COMPUTER!P219)=0,"",IF(AND($H$43="3",$B$43="Execute"),M232,COMPUTER!P219))</f>
        <v>#N/A</v>
      </c>
      <c r="BK226" s="15"/>
      <c r="BL226" s="15"/>
    </row>
    <row r="227" spans="10:64">
      <c r="J227" s="50"/>
      <c r="K227" s="51">
        <v>206</v>
      </c>
      <c r="L227" s="51">
        <f>COMPUTER!P214</f>
        <v>0</v>
      </c>
      <c r="M227" s="52" t="e">
        <f t="shared" si="35"/>
        <v>#N/A</v>
      </c>
      <c r="AX227">
        <v>212</v>
      </c>
      <c r="AY227" t="e">
        <f>IF($H$43="3",M233,COMPUTER!P220)</f>
        <v>#N/A</v>
      </c>
      <c r="BC227">
        <v>212</v>
      </c>
      <c r="BD227" t="e">
        <f>IF(IF($B$43="Execute",M233,COMPUTER!P220)=0,"",IF(AND($H$43="3",$B$43="Execute"),M233,COMPUTER!P220))</f>
        <v>#N/A</v>
      </c>
      <c r="BK227" s="15"/>
      <c r="BL227" s="15"/>
    </row>
    <row r="228" spans="10:64">
      <c r="J228" s="50"/>
      <c r="K228" s="51">
        <v>207</v>
      </c>
      <c r="L228" s="51">
        <f>COMPUTER!P215</f>
        <v>0</v>
      </c>
      <c r="M228" s="52" t="e">
        <f t="shared" si="35"/>
        <v>#N/A</v>
      </c>
      <c r="AX228">
        <v>213</v>
      </c>
      <c r="AY228" t="e">
        <f>IF($H$43="3",M234,COMPUTER!P221)</f>
        <v>#N/A</v>
      </c>
      <c r="BC228">
        <v>213</v>
      </c>
      <c r="BD228" t="e">
        <f>IF(IF($B$43="Execute",M234,COMPUTER!P221)=0,"",IF(AND($H$43="3",$B$43="Execute"),M234,COMPUTER!P221))</f>
        <v>#N/A</v>
      </c>
      <c r="BK228" s="15"/>
      <c r="BL228" s="15"/>
    </row>
    <row r="229" spans="10:64">
      <c r="J229" s="50"/>
      <c r="K229" s="51">
        <v>208</v>
      </c>
      <c r="L229" s="51">
        <f>COMPUTER!P216</f>
        <v>0</v>
      </c>
      <c r="M229" s="52" t="e">
        <f t="shared" si="35"/>
        <v>#N/A</v>
      </c>
      <c r="AX229">
        <v>214</v>
      </c>
      <c r="AY229" t="e">
        <f>IF($H$43="3",M235,COMPUTER!P222)</f>
        <v>#N/A</v>
      </c>
      <c r="BC229">
        <v>214</v>
      </c>
      <c r="BD229" t="e">
        <f>IF(IF($B$43="Execute",M235,COMPUTER!P222)=0,"",IF(AND($H$43="3",$B$43="Execute"),M235,COMPUTER!P222))</f>
        <v>#N/A</v>
      </c>
      <c r="BK229" s="15"/>
      <c r="BL229" s="15"/>
    </row>
    <row r="230" spans="10:64">
      <c r="J230" s="50"/>
      <c r="K230" s="51">
        <v>209</v>
      </c>
      <c r="L230" s="51">
        <f>COMPUTER!P217</f>
        <v>0</v>
      </c>
      <c r="M230" s="52" t="e">
        <f t="shared" si="35"/>
        <v>#N/A</v>
      </c>
      <c r="AX230">
        <v>215</v>
      </c>
      <c r="AY230" t="e">
        <f>IF($H$43="3",M236,COMPUTER!P223)</f>
        <v>#N/A</v>
      </c>
      <c r="BC230">
        <v>215</v>
      </c>
      <c r="BD230" t="e">
        <f>IF(IF($B$43="Execute",M236,COMPUTER!P223)=0,"",IF(AND($H$43="3",$B$43="Execute"),M236,COMPUTER!P223))</f>
        <v>#N/A</v>
      </c>
      <c r="BK230" s="15"/>
      <c r="BL230" s="15"/>
    </row>
    <row r="231" spans="10:64">
      <c r="J231" s="50"/>
      <c r="K231" s="51">
        <v>210</v>
      </c>
      <c r="L231" s="51">
        <f>COMPUTER!P218</f>
        <v>0</v>
      </c>
      <c r="M231" s="52" t="e">
        <f t="shared" si="35"/>
        <v>#N/A</v>
      </c>
      <c r="AX231">
        <v>216</v>
      </c>
      <c r="AY231" t="e">
        <f>IF($H$43="3",M237,COMPUTER!P224)</f>
        <v>#N/A</v>
      </c>
      <c r="BC231">
        <v>216</v>
      </c>
      <c r="BD231" t="e">
        <f>IF(IF($B$43="Execute",M237,COMPUTER!P224)=0,"",IF(AND($H$43="3",$B$43="Execute"),M237,COMPUTER!P224))</f>
        <v>#N/A</v>
      </c>
      <c r="BK231" s="15"/>
      <c r="BL231" s="15"/>
    </row>
    <row r="232" spans="10:64">
      <c r="J232" s="50"/>
      <c r="K232" s="51">
        <v>211</v>
      </c>
      <c r="L232" s="51">
        <f>COMPUTER!P219</f>
        <v>0</v>
      </c>
      <c r="M232" s="52" t="e">
        <f t="shared" si="35"/>
        <v>#N/A</v>
      </c>
      <c r="AX232">
        <v>217</v>
      </c>
      <c r="AY232" t="e">
        <f>IF($H$43="3",M238,COMPUTER!P225)</f>
        <v>#N/A</v>
      </c>
      <c r="BC232">
        <v>217</v>
      </c>
      <c r="BD232" t="e">
        <f>IF(IF($B$43="Execute",M238,COMPUTER!P225)=0,"",IF(AND($H$43="3",$B$43="Execute"),M238,COMPUTER!P225))</f>
        <v>#N/A</v>
      </c>
      <c r="BK232" s="15"/>
      <c r="BL232" s="15"/>
    </row>
    <row r="233" spans="10:64">
      <c r="J233" s="50"/>
      <c r="K233" s="51">
        <v>212</v>
      </c>
      <c r="L233" s="51">
        <f>COMPUTER!P220</f>
        <v>0</v>
      </c>
      <c r="M233" s="52" t="e">
        <f t="shared" si="35"/>
        <v>#N/A</v>
      </c>
      <c r="AX233">
        <v>218</v>
      </c>
      <c r="AY233" t="e">
        <f>IF($H$43="3",M239,COMPUTER!P226)</f>
        <v>#N/A</v>
      </c>
      <c r="BC233">
        <v>218</v>
      </c>
      <c r="BD233" t="e">
        <f>IF(IF($B$43="Execute",M239,COMPUTER!P226)=0,"",IF(AND($H$43="3",$B$43="Execute"),M239,COMPUTER!P226))</f>
        <v>#N/A</v>
      </c>
      <c r="BK233" s="15"/>
      <c r="BL233" s="15"/>
    </row>
    <row r="234" spans="10:64">
      <c r="J234" s="50"/>
      <c r="K234" s="51">
        <v>213</v>
      </c>
      <c r="L234" s="51">
        <f>COMPUTER!P221</f>
        <v>0</v>
      </c>
      <c r="M234" s="52" t="e">
        <f t="shared" si="35"/>
        <v>#N/A</v>
      </c>
      <c r="AX234">
        <v>219</v>
      </c>
      <c r="AY234" t="e">
        <f>IF($H$43="3",M240,COMPUTER!P227)</f>
        <v>#N/A</v>
      </c>
      <c r="BC234">
        <v>219</v>
      </c>
      <c r="BD234" t="e">
        <f>IF(IF($B$43="Execute",M240,COMPUTER!P227)=0,"",IF(AND($H$43="3",$B$43="Execute"),M240,COMPUTER!P227))</f>
        <v>#N/A</v>
      </c>
      <c r="BK234" s="15"/>
      <c r="BL234" s="15"/>
    </row>
    <row r="235" spans="10:64">
      <c r="J235" s="50"/>
      <c r="K235" s="51">
        <v>214</v>
      </c>
      <c r="L235" s="51">
        <f>COMPUTER!P222</f>
        <v>0</v>
      </c>
      <c r="M235" s="52" t="e">
        <f t="shared" si="35"/>
        <v>#N/A</v>
      </c>
      <c r="AX235">
        <v>220</v>
      </c>
      <c r="AY235" t="e">
        <f>IF($H$43="3",M241,COMPUTER!P228)</f>
        <v>#N/A</v>
      </c>
      <c r="BC235">
        <v>220</v>
      </c>
      <c r="BD235" t="e">
        <f>IF(IF($B$43="Execute",M241,COMPUTER!P228)=0,"",IF(AND($H$43="3",$B$43="Execute"),M241,COMPUTER!P228))</f>
        <v>#N/A</v>
      </c>
      <c r="BK235" s="15"/>
      <c r="BL235" s="15"/>
    </row>
    <row r="236" spans="10:64">
      <c r="J236" s="50"/>
      <c r="K236" s="51">
        <v>215</v>
      </c>
      <c r="L236" s="51">
        <f>COMPUTER!P223</f>
        <v>0</v>
      </c>
      <c r="M236" s="52" t="e">
        <f t="shared" si="35"/>
        <v>#N/A</v>
      </c>
      <c r="AX236">
        <v>221</v>
      </c>
      <c r="AY236" t="e">
        <f>IF($H$43="3",M242,COMPUTER!P229)</f>
        <v>#N/A</v>
      </c>
      <c r="BC236">
        <v>221</v>
      </c>
      <c r="BD236" t="e">
        <f>IF(IF($B$43="Execute",M242,COMPUTER!P229)=0,"",IF(AND($H$43="3",$B$43="Execute"),M242,COMPUTER!P229))</f>
        <v>#N/A</v>
      </c>
      <c r="BK236" s="15"/>
      <c r="BL236" s="15"/>
    </row>
    <row r="237" spans="10:64">
      <c r="J237" s="50"/>
      <c r="K237" s="51">
        <v>216</v>
      </c>
      <c r="L237" s="51">
        <f>COMPUTER!P224</f>
        <v>0</v>
      </c>
      <c r="M237" s="52" t="e">
        <f t="shared" si="35"/>
        <v>#N/A</v>
      </c>
      <c r="AX237">
        <v>222</v>
      </c>
      <c r="AY237" t="e">
        <f>IF($H$43="3",M243,COMPUTER!P230)</f>
        <v>#N/A</v>
      </c>
      <c r="BC237">
        <v>222</v>
      </c>
      <c r="BD237" t="e">
        <f>IF(IF($B$43="Execute",M243,COMPUTER!P230)=0,"",IF(AND($H$43="3",$B$43="Execute"),M243,COMPUTER!P230))</f>
        <v>#N/A</v>
      </c>
      <c r="BK237" s="15"/>
      <c r="BL237" s="15"/>
    </row>
    <row r="238" spans="10:64">
      <c r="J238" s="50"/>
      <c r="K238" s="51">
        <v>217</v>
      </c>
      <c r="L238" s="51">
        <f>COMPUTER!P225</f>
        <v>0</v>
      </c>
      <c r="M238" s="52" t="e">
        <f t="shared" si="35"/>
        <v>#N/A</v>
      </c>
      <c r="AX238">
        <v>223</v>
      </c>
      <c r="AY238" t="e">
        <f>IF($H$43="3",M244,COMPUTER!P231)</f>
        <v>#N/A</v>
      </c>
      <c r="BC238">
        <v>223</v>
      </c>
      <c r="BD238" t="e">
        <f>IF(IF($B$43="Execute",M244,COMPUTER!P231)=0,"",IF(AND($H$43="3",$B$43="Execute"),M244,COMPUTER!P231))</f>
        <v>#N/A</v>
      </c>
      <c r="BK238" s="15"/>
      <c r="BL238" s="15"/>
    </row>
    <row r="239" spans="10:64">
      <c r="J239" s="50"/>
      <c r="K239" s="51">
        <v>218</v>
      </c>
      <c r="L239" s="51">
        <f>COMPUTER!P226</f>
        <v>0</v>
      </c>
      <c r="M239" s="52" t="e">
        <f t="shared" si="35"/>
        <v>#N/A</v>
      </c>
      <c r="AX239">
        <v>224</v>
      </c>
      <c r="AY239" t="e">
        <f>IF($H$43="3",M245,COMPUTER!P232)</f>
        <v>#N/A</v>
      </c>
      <c r="BC239">
        <v>224</v>
      </c>
      <c r="BD239" t="e">
        <f>IF(IF($B$43="Execute",M245,COMPUTER!P232)=0,"",IF(AND($H$43="3",$B$43="Execute"),M245,COMPUTER!P232))</f>
        <v>#N/A</v>
      </c>
      <c r="BK239" s="15"/>
      <c r="BL239" s="15"/>
    </row>
    <row r="240" spans="10:64">
      <c r="J240" s="50"/>
      <c r="K240" s="51">
        <v>219</v>
      </c>
      <c r="L240" s="51">
        <f>COMPUTER!P227</f>
        <v>0</v>
      </c>
      <c r="M240" s="52" t="e">
        <f t="shared" si="35"/>
        <v>#N/A</v>
      </c>
      <c r="AX240">
        <v>225</v>
      </c>
      <c r="AY240" t="e">
        <f>IF($H$43="3",M246,COMPUTER!P233)</f>
        <v>#N/A</v>
      </c>
      <c r="BC240">
        <v>225</v>
      </c>
      <c r="BD240" t="e">
        <f>IF(IF($B$43="Execute",M246,COMPUTER!P233)=0,"",IF(AND($H$43="3",$B$43="Execute"),M246,COMPUTER!P233))</f>
        <v>#N/A</v>
      </c>
      <c r="BK240" s="15"/>
      <c r="BL240" s="15"/>
    </row>
    <row r="241" spans="10:64">
      <c r="J241" s="50"/>
      <c r="K241" s="51">
        <v>220</v>
      </c>
      <c r="L241" s="51">
        <f>COMPUTER!P228</f>
        <v>0</v>
      </c>
      <c r="M241" s="52" t="e">
        <f t="shared" si="35"/>
        <v>#N/A</v>
      </c>
      <c r="AX241">
        <v>226</v>
      </c>
      <c r="AY241" t="e">
        <f>IF($H$43="3",M247,COMPUTER!P234)</f>
        <v>#N/A</v>
      </c>
      <c r="BC241">
        <v>226</v>
      </c>
      <c r="BD241" t="e">
        <f>IF(IF($B$43="Execute",M247,COMPUTER!P234)=0,"",IF(AND($H$43="3",$B$43="Execute"),M247,COMPUTER!P234))</f>
        <v>#N/A</v>
      </c>
      <c r="BK241" s="15"/>
      <c r="BL241" s="15"/>
    </row>
    <row r="242" spans="10:64">
      <c r="J242" s="50"/>
      <c r="K242" s="51">
        <v>221</v>
      </c>
      <c r="L242" s="51">
        <f>COMPUTER!P229</f>
        <v>0</v>
      </c>
      <c r="M242" s="52" t="e">
        <f t="shared" si="35"/>
        <v>#N/A</v>
      </c>
      <c r="AX242">
        <v>227</v>
      </c>
      <c r="AY242" t="e">
        <f>IF($H$43="3",M248,COMPUTER!P235)</f>
        <v>#N/A</v>
      </c>
      <c r="BC242">
        <v>227</v>
      </c>
      <c r="BD242" t="e">
        <f>IF(IF($B$43="Execute",M248,COMPUTER!P235)=0,"",IF(AND($H$43="3",$B$43="Execute"),M248,COMPUTER!P235))</f>
        <v>#N/A</v>
      </c>
      <c r="BK242" s="15"/>
      <c r="BL242" s="15"/>
    </row>
    <row r="243" spans="10:64">
      <c r="J243" s="50"/>
      <c r="K243" s="51">
        <v>222</v>
      </c>
      <c r="L243" s="51">
        <f>COMPUTER!P230</f>
        <v>0</v>
      </c>
      <c r="M243" s="52" t="e">
        <f t="shared" si="35"/>
        <v>#N/A</v>
      </c>
      <c r="AX243">
        <v>228</v>
      </c>
      <c r="AY243" t="e">
        <f>IF($H$43="3",M249,COMPUTER!P236)</f>
        <v>#N/A</v>
      </c>
      <c r="BC243">
        <v>228</v>
      </c>
      <c r="BD243" t="e">
        <f>IF(IF($B$43="Execute",M249,COMPUTER!P236)=0,"",IF(AND($H$43="3",$B$43="Execute"),M249,COMPUTER!P236))</f>
        <v>#N/A</v>
      </c>
      <c r="BK243" s="15"/>
      <c r="BL243" s="15"/>
    </row>
    <row r="244" spans="10:64">
      <c r="J244" s="50"/>
      <c r="K244" s="51">
        <v>223</v>
      </c>
      <c r="L244" s="51">
        <f>COMPUTER!P231</f>
        <v>0</v>
      </c>
      <c r="M244" s="52" t="e">
        <f t="shared" si="35"/>
        <v>#N/A</v>
      </c>
      <c r="AX244">
        <v>229</v>
      </c>
      <c r="AY244" t="e">
        <f>IF($H$43="3",M250,COMPUTER!P237)</f>
        <v>#N/A</v>
      </c>
      <c r="BC244">
        <v>229</v>
      </c>
      <c r="BD244" t="e">
        <f>IF(IF($B$43="Execute",M250,COMPUTER!P237)=0,"",IF(AND($H$43="3",$B$43="Execute"),M250,COMPUTER!P237))</f>
        <v>#N/A</v>
      </c>
      <c r="BK244" s="15"/>
      <c r="BL244" s="15"/>
    </row>
    <row r="245" spans="10:64">
      <c r="J245" s="50"/>
      <c r="K245" s="51">
        <v>224</v>
      </c>
      <c r="L245" s="51">
        <f>COMPUTER!P232</f>
        <v>0</v>
      </c>
      <c r="M245" s="52" t="e">
        <f t="shared" si="35"/>
        <v>#N/A</v>
      </c>
      <c r="AX245">
        <v>230</v>
      </c>
      <c r="AY245" t="e">
        <f>IF($H$43="3",M251,COMPUTER!P238)</f>
        <v>#N/A</v>
      </c>
      <c r="BC245">
        <v>230</v>
      </c>
      <c r="BD245" t="e">
        <f>IF(IF($B$43="Execute",M251,COMPUTER!P238)=0,"",IF(AND($H$43="3",$B$43="Execute"),M251,COMPUTER!P238))</f>
        <v>#N/A</v>
      </c>
      <c r="BK245" s="15"/>
      <c r="BL245" s="15"/>
    </row>
    <row r="246" spans="10:64">
      <c r="J246" s="50"/>
      <c r="K246" s="51">
        <v>225</v>
      </c>
      <c r="L246" s="51">
        <f>COMPUTER!P233</f>
        <v>0</v>
      </c>
      <c r="M246" s="52" t="e">
        <f t="shared" si="35"/>
        <v>#N/A</v>
      </c>
      <c r="AX246">
        <v>231</v>
      </c>
      <c r="AY246" t="e">
        <f>IF($H$43="3",M252,COMPUTER!P239)</f>
        <v>#N/A</v>
      </c>
      <c r="BC246">
        <v>231</v>
      </c>
      <c r="BD246" t="e">
        <f>IF(IF($B$43="Execute",M252,COMPUTER!P239)=0,"",IF(AND($H$43="3",$B$43="Execute"),M252,COMPUTER!P239))</f>
        <v>#N/A</v>
      </c>
      <c r="BK246" s="15"/>
      <c r="BL246" s="15"/>
    </row>
    <row r="247" spans="10:64">
      <c r="J247" s="50"/>
      <c r="K247" s="51">
        <v>226</v>
      </c>
      <c r="L247" s="51">
        <f>COMPUTER!P234</f>
        <v>0</v>
      </c>
      <c r="M247" s="52" t="e">
        <f t="shared" si="35"/>
        <v>#N/A</v>
      </c>
      <c r="AX247">
        <v>232</v>
      </c>
      <c r="AY247" t="e">
        <f>IF($H$43="3",M253,COMPUTER!P240)</f>
        <v>#N/A</v>
      </c>
      <c r="BC247">
        <v>232</v>
      </c>
      <c r="BD247" t="e">
        <f>IF(IF($B$43="Execute",M253,COMPUTER!P240)=0,"",IF(AND($H$43="3",$B$43="Execute"),M253,COMPUTER!P240))</f>
        <v>#N/A</v>
      </c>
      <c r="BK247" s="15"/>
      <c r="BL247" s="15"/>
    </row>
    <row r="248" spans="10:64">
      <c r="J248" s="50"/>
      <c r="K248" s="51">
        <v>227</v>
      </c>
      <c r="L248" s="51">
        <f>COMPUTER!P235</f>
        <v>0</v>
      </c>
      <c r="M248" s="52" t="e">
        <f t="shared" si="35"/>
        <v>#N/A</v>
      </c>
      <c r="AX248">
        <v>233</v>
      </c>
      <c r="AY248" t="e">
        <f>IF($H$43="3",M254,COMPUTER!P241)</f>
        <v>#N/A</v>
      </c>
      <c r="BC248">
        <v>233</v>
      </c>
      <c r="BD248" t="e">
        <f>IF(IF($B$43="Execute",M254,COMPUTER!P241)=0,"",IF(AND($H$43="3",$B$43="Execute"),M254,COMPUTER!P241))</f>
        <v>#N/A</v>
      </c>
      <c r="BK248" s="15"/>
      <c r="BL248" s="15"/>
    </row>
    <row r="249" spans="10:64">
      <c r="J249" s="50"/>
      <c r="K249" s="51">
        <v>228</v>
      </c>
      <c r="L249" s="51">
        <f>COMPUTER!P236</f>
        <v>0</v>
      </c>
      <c r="M249" s="52" t="e">
        <f t="shared" si="35"/>
        <v>#N/A</v>
      </c>
      <c r="AX249">
        <v>234</v>
      </c>
      <c r="AY249" t="e">
        <f>IF($H$43="3",M255,COMPUTER!P242)</f>
        <v>#N/A</v>
      </c>
      <c r="BC249">
        <v>234</v>
      </c>
      <c r="BD249" t="e">
        <f>IF(IF($B$43="Execute",M255,COMPUTER!P242)=0,"",IF(AND($H$43="3",$B$43="Execute"),M255,COMPUTER!P242))</f>
        <v>#N/A</v>
      </c>
      <c r="BK249" s="15"/>
      <c r="BL249" s="15"/>
    </row>
    <row r="250" spans="10:64">
      <c r="J250" s="50"/>
      <c r="K250" s="51">
        <v>229</v>
      </c>
      <c r="L250" s="51">
        <f>COMPUTER!P237</f>
        <v>0</v>
      </c>
      <c r="M250" s="52" t="e">
        <f t="shared" si="35"/>
        <v>#N/A</v>
      </c>
      <c r="AX250">
        <v>235</v>
      </c>
      <c r="AY250" t="e">
        <f>IF($H$43="3",M256,COMPUTER!P243)</f>
        <v>#N/A</v>
      </c>
      <c r="BC250">
        <v>235</v>
      </c>
      <c r="BD250" t="e">
        <f>IF(IF($B$43="Execute",M256,COMPUTER!P243)=0,"",IF(AND($H$43="3",$B$43="Execute"),M256,COMPUTER!P243))</f>
        <v>#N/A</v>
      </c>
      <c r="BK250" s="15"/>
      <c r="BL250" s="15"/>
    </row>
    <row r="251" spans="10:64">
      <c r="J251" s="50"/>
      <c r="K251" s="51">
        <v>230</v>
      </c>
      <c r="L251" s="51">
        <f>COMPUTER!P238</f>
        <v>0</v>
      </c>
      <c r="M251" s="52" t="e">
        <f t="shared" si="35"/>
        <v>#N/A</v>
      </c>
      <c r="AX251">
        <v>236</v>
      </c>
      <c r="AY251" t="e">
        <f>IF($H$43="3",M257,COMPUTER!P244)</f>
        <v>#N/A</v>
      </c>
      <c r="BC251">
        <v>236</v>
      </c>
      <c r="BD251" t="e">
        <f>IF(IF($B$43="Execute",M257,COMPUTER!P244)=0,"",IF(AND($H$43="3",$B$43="Execute"),M257,COMPUTER!P244))</f>
        <v>#N/A</v>
      </c>
      <c r="BK251" s="15"/>
      <c r="BL251" s="15"/>
    </row>
    <row r="252" spans="10:64">
      <c r="J252" s="50"/>
      <c r="K252" s="51">
        <v>231</v>
      </c>
      <c r="L252" s="51">
        <f>COMPUTER!P239</f>
        <v>0</v>
      </c>
      <c r="M252" s="52" t="e">
        <f t="shared" si="35"/>
        <v>#N/A</v>
      </c>
      <c r="AX252">
        <v>237</v>
      </c>
      <c r="AY252" t="e">
        <f>IF($H$43="3",M258,COMPUTER!P245)</f>
        <v>#N/A</v>
      </c>
      <c r="BC252">
        <v>237</v>
      </c>
      <c r="BD252" t="e">
        <f>IF(IF($B$43="Execute",M258,COMPUTER!P245)=0,"",IF(AND($H$43="3",$B$43="Execute"),M258,COMPUTER!P245))</f>
        <v>#N/A</v>
      </c>
      <c r="BK252" s="15"/>
      <c r="BL252" s="15"/>
    </row>
    <row r="253" spans="10:64">
      <c r="J253" s="50"/>
      <c r="K253" s="51">
        <v>232</v>
      </c>
      <c r="L253" s="51">
        <f>COMPUTER!P240</f>
        <v>0</v>
      </c>
      <c r="M253" s="52" t="e">
        <f t="shared" si="35"/>
        <v>#N/A</v>
      </c>
      <c r="AX253">
        <v>238</v>
      </c>
      <c r="AY253" t="e">
        <f>IF($H$43="3",M259,COMPUTER!P246)</f>
        <v>#N/A</v>
      </c>
      <c r="BC253">
        <v>238</v>
      </c>
      <c r="BD253" t="e">
        <f>IF(IF($B$43="Execute",M259,COMPUTER!P246)=0,"",IF(AND($H$43="3",$B$43="Execute"),M259,COMPUTER!P246))</f>
        <v>#N/A</v>
      </c>
      <c r="BK253" s="15"/>
      <c r="BL253" s="15"/>
    </row>
    <row r="254" spans="10:64">
      <c r="J254" s="50"/>
      <c r="K254" s="51">
        <v>233</v>
      </c>
      <c r="L254" s="51">
        <f>COMPUTER!P241</f>
        <v>0</v>
      </c>
      <c r="M254" s="52" t="e">
        <f t="shared" si="35"/>
        <v>#N/A</v>
      </c>
      <c r="AX254">
        <v>239</v>
      </c>
      <c r="AY254" t="e">
        <f>IF($H$43="3",M260,COMPUTER!P247)</f>
        <v>#N/A</v>
      </c>
      <c r="BC254">
        <v>239</v>
      </c>
      <c r="BD254" t="e">
        <f>IF(IF($B$43="Execute",M260,COMPUTER!P247)=0,"",IF(AND($H$43="3",$B$43="Execute"),M260,COMPUTER!P247))</f>
        <v>#N/A</v>
      </c>
      <c r="BK254" s="15"/>
      <c r="BL254" s="15"/>
    </row>
    <row r="255" spans="10:64">
      <c r="J255" s="50"/>
      <c r="K255" s="51">
        <v>234</v>
      </c>
      <c r="L255" s="51">
        <f>COMPUTER!P242</f>
        <v>0</v>
      </c>
      <c r="M255" s="52" t="e">
        <f t="shared" si="35"/>
        <v>#N/A</v>
      </c>
      <c r="AX255">
        <v>240</v>
      </c>
      <c r="AY255" t="e">
        <f>IF($H$43="3",M261,COMPUTER!P248)</f>
        <v>#N/A</v>
      </c>
      <c r="BC255">
        <v>240</v>
      </c>
      <c r="BD255" t="e">
        <f>IF(IF($B$43="Execute",M261,COMPUTER!P248)=0,"",IF(AND($H$43="3",$B$43="Execute"),M261,COMPUTER!P248))</f>
        <v>#N/A</v>
      </c>
      <c r="BK255" s="15"/>
      <c r="BL255" s="15"/>
    </row>
    <row r="256" spans="10:64">
      <c r="J256" s="50"/>
      <c r="K256" s="51">
        <v>235</v>
      </c>
      <c r="L256" s="51">
        <f>COMPUTER!P243</f>
        <v>0</v>
      </c>
      <c r="M256" s="52" t="e">
        <f t="shared" si="35"/>
        <v>#N/A</v>
      </c>
      <c r="AX256">
        <v>241</v>
      </c>
      <c r="AY256" t="e">
        <f>IF($H$43="3",M262,COMPUTER!P249)</f>
        <v>#N/A</v>
      </c>
      <c r="BC256">
        <v>241</v>
      </c>
      <c r="BD256" t="e">
        <f>IF(IF($B$43="Execute",M262,COMPUTER!P249)=0,"",IF(AND($H$43="3",$B$43="Execute"),M262,COMPUTER!P249))</f>
        <v>#N/A</v>
      </c>
      <c r="BK256" s="15"/>
      <c r="BL256" s="15"/>
    </row>
    <row r="257" spans="10:64">
      <c r="J257" s="50"/>
      <c r="K257" s="51">
        <v>236</v>
      </c>
      <c r="L257" s="51">
        <f>COMPUTER!P244</f>
        <v>0</v>
      </c>
      <c r="M257" s="52" t="e">
        <f t="shared" si="35"/>
        <v>#N/A</v>
      </c>
      <c r="AX257">
        <v>242</v>
      </c>
      <c r="AY257" t="e">
        <f>IF($H$43="3",M263,COMPUTER!P250)</f>
        <v>#N/A</v>
      </c>
      <c r="BC257">
        <v>242</v>
      </c>
      <c r="BD257" t="e">
        <f>IF(IF($B$43="Execute",M263,COMPUTER!P250)=0,"",IF(AND($H$43="3",$B$43="Execute"),M263,COMPUTER!P250))</f>
        <v>#N/A</v>
      </c>
      <c r="BK257" s="15"/>
      <c r="BL257" s="15"/>
    </row>
    <row r="258" spans="10:64">
      <c r="J258" s="50"/>
      <c r="K258" s="51">
        <v>237</v>
      </c>
      <c r="L258" s="51">
        <f>COMPUTER!P245</f>
        <v>0</v>
      </c>
      <c r="M258" s="52" t="e">
        <f t="shared" si="35"/>
        <v>#N/A</v>
      </c>
      <c r="AX258">
        <v>243</v>
      </c>
      <c r="AY258" t="e">
        <f>IF($H$43="3",M264,COMPUTER!P251)</f>
        <v>#N/A</v>
      </c>
      <c r="BC258">
        <v>243</v>
      </c>
      <c r="BD258" t="e">
        <f>IF(IF($B$43="Execute",M264,COMPUTER!P251)=0,"",IF(AND($H$43="3",$B$43="Execute"),M264,COMPUTER!P251))</f>
        <v>#N/A</v>
      </c>
      <c r="BK258" s="15"/>
      <c r="BL258" s="15"/>
    </row>
    <row r="259" spans="10:64">
      <c r="J259" s="50"/>
      <c r="K259" s="51">
        <v>238</v>
      </c>
      <c r="L259" s="51">
        <f>COMPUTER!P246</f>
        <v>0</v>
      </c>
      <c r="M259" s="52" t="e">
        <f t="shared" si="35"/>
        <v>#N/A</v>
      </c>
      <c r="AX259">
        <v>244</v>
      </c>
      <c r="AY259" t="e">
        <f>IF($H$43="3",M265,COMPUTER!P252)</f>
        <v>#N/A</v>
      </c>
      <c r="BC259">
        <v>244</v>
      </c>
      <c r="BD259" t="e">
        <f>IF(IF($B$43="Execute",M265,COMPUTER!P252)=0,"",IF(AND($H$43="3",$B$43="Execute"),M265,COMPUTER!P252))</f>
        <v>#N/A</v>
      </c>
      <c r="BK259" s="15"/>
      <c r="BL259" s="15"/>
    </row>
    <row r="260" spans="10:64">
      <c r="J260" s="50"/>
      <c r="K260" s="51">
        <v>239</v>
      </c>
      <c r="L260" s="51">
        <f>COMPUTER!P247</f>
        <v>0</v>
      </c>
      <c r="M260" s="52" t="e">
        <f t="shared" si="35"/>
        <v>#N/A</v>
      </c>
      <c r="AX260">
        <v>245</v>
      </c>
      <c r="AY260" t="e">
        <f>IF($H$43="3",M266,COMPUTER!P253)</f>
        <v>#N/A</v>
      </c>
      <c r="BC260">
        <v>245</v>
      </c>
      <c r="BD260" t="e">
        <f>IF(IF($B$43="Execute",M266,COMPUTER!P253)=0,"",IF(AND($H$43="3",$B$43="Execute"),M266,COMPUTER!P253))</f>
        <v>#N/A</v>
      </c>
      <c r="BK260" s="15"/>
      <c r="BL260" s="15"/>
    </row>
    <row r="261" spans="10:64">
      <c r="J261" s="50"/>
      <c r="K261" s="51">
        <v>240</v>
      </c>
      <c r="L261" s="51">
        <f>COMPUTER!P248</f>
        <v>0</v>
      </c>
      <c r="M261" s="52" t="e">
        <f t="shared" si="35"/>
        <v>#N/A</v>
      </c>
      <c r="AX261">
        <v>246</v>
      </c>
      <c r="AY261" t="e">
        <f>IF($H$43="3",M267,COMPUTER!P254)</f>
        <v>#N/A</v>
      </c>
      <c r="BC261">
        <v>246</v>
      </c>
      <c r="BD261" t="e">
        <f>IF(IF($B$43="Execute",M267,COMPUTER!P254)=0,"",IF(AND($H$43="3",$B$43="Execute"),M267,COMPUTER!P254))</f>
        <v>#N/A</v>
      </c>
      <c r="BK261" s="15"/>
      <c r="BL261" s="15"/>
    </row>
    <row r="262" spans="10:64">
      <c r="J262" s="50"/>
      <c r="K262" s="51">
        <v>241</v>
      </c>
      <c r="L262" s="51">
        <f>COMPUTER!P249</f>
        <v>0</v>
      </c>
      <c r="M262" s="52" t="e">
        <f t="shared" si="35"/>
        <v>#N/A</v>
      </c>
      <c r="AX262">
        <v>247</v>
      </c>
      <c r="AY262" t="e">
        <f>IF($H$43="3",M268,COMPUTER!P255)</f>
        <v>#N/A</v>
      </c>
      <c r="BC262">
        <v>247</v>
      </c>
      <c r="BD262" t="e">
        <f>IF(IF($B$43="Execute",M268,COMPUTER!P255)=0,"",IF(AND($H$43="3",$B$43="Execute"),M268,COMPUTER!P255))</f>
        <v>#N/A</v>
      </c>
      <c r="BK262" s="15"/>
      <c r="BL262" s="15"/>
    </row>
    <row r="263" spans="10:64">
      <c r="J263" s="50"/>
      <c r="K263" s="51">
        <v>242</v>
      </c>
      <c r="L263" s="51">
        <f>COMPUTER!P250</f>
        <v>0</v>
      </c>
      <c r="M263" s="52" t="e">
        <f t="shared" si="35"/>
        <v>#N/A</v>
      </c>
      <c r="AX263">
        <v>248</v>
      </c>
      <c r="AY263" t="e">
        <f>IF($H$43="3",M269,COMPUTER!P256)</f>
        <v>#N/A</v>
      </c>
      <c r="BC263">
        <v>248</v>
      </c>
      <c r="BD263" t="e">
        <f>IF(IF($B$43="Execute",M269,COMPUTER!P256)=0,"",IF(AND($H$43="3",$B$43="Execute"),M269,COMPUTER!P256))</f>
        <v>#N/A</v>
      </c>
      <c r="BK263" s="15"/>
      <c r="BL263" s="15"/>
    </row>
    <row r="264" spans="10:64">
      <c r="J264" s="50"/>
      <c r="K264" s="51">
        <v>243</v>
      </c>
      <c r="L264" s="51">
        <f>COMPUTER!P251</f>
        <v>0</v>
      </c>
      <c r="M264" s="52" t="e">
        <f t="shared" si="35"/>
        <v>#N/A</v>
      </c>
      <c r="AX264">
        <v>249</v>
      </c>
      <c r="AY264" t="e">
        <f>IF($H$43="3",M270,COMPUTER!P257)</f>
        <v>#N/A</v>
      </c>
      <c r="BC264">
        <v>249</v>
      </c>
      <c r="BD264" t="e">
        <f>IF(IF($B$43="Execute",M270,COMPUTER!P257)=0,"",IF(AND($H$43="3",$B$43="Execute"),M270,COMPUTER!P257))</f>
        <v>#N/A</v>
      </c>
      <c r="BK264" s="15"/>
      <c r="BL264" s="15"/>
    </row>
    <row r="265" spans="10:64">
      <c r="J265" s="50"/>
      <c r="K265" s="51">
        <v>244</v>
      </c>
      <c r="L265" s="51">
        <f>COMPUTER!P252</f>
        <v>0</v>
      </c>
      <c r="M265" s="52" t="e">
        <f t="shared" si="35"/>
        <v>#N/A</v>
      </c>
      <c r="AX265">
        <v>250</v>
      </c>
      <c r="AY265" t="e">
        <f>IF($H$43="3",M271,COMPUTER!P258)</f>
        <v>#N/A</v>
      </c>
      <c r="BC265">
        <v>250</v>
      </c>
      <c r="BD265" t="e">
        <f>IF(IF($B$43="Execute",M271,COMPUTER!P258)=0,"",IF(AND($H$43="3",$B$43="Execute"),M271,COMPUTER!P258))</f>
        <v>#N/A</v>
      </c>
      <c r="BK265" s="15"/>
      <c r="BL265" s="15"/>
    </row>
    <row r="266" spans="10:64">
      <c r="J266" s="50"/>
      <c r="K266" s="51">
        <v>245</v>
      </c>
      <c r="L266" s="51">
        <f>COMPUTER!P253</f>
        <v>0</v>
      </c>
      <c r="M266" s="52" t="e">
        <f t="shared" si="35"/>
        <v>#N/A</v>
      </c>
      <c r="AX266">
        <v>251</v>
      </c>
      <c r="AY266" t="e">
        <f>IF($H$43="3",M272,COMPUTER!P259)</f>
        <v>#N/A</v>
      </c>
      <c r="BC266">
        <v>251</v>
      </c>
      <c r="BD266" t="e">
        <f>IF(IF($B$43="Execute",M272,COMPUTER!P259)=0,"",IF(AND($H$43="3",$B$43="Execute"),M272,COMPUTER!P259))</f>
        <v>#N/A</v>
      </c>
      <c r="BK266" s="15"/>
      <c r="BL266" s="15"/>
    </row>
    <row r="267" spans="10:64">
      <c r="J267" s="50"/>
      <c r="K267" s="51">
        <v>246</v>
      </c>
      <c r="L267" s="51">
        <f>COMPUTER!P254</f>
        <v>0</v>
      </c>
      <c r="M267" s="52" t="e">
        <f t="shared" si="35"/>
        <v>#N/A</v>
      </c>
      <c r="AX267">
        <v>252</v>
      </c>
      <c r="AY267" t="e">
        <f>IF($H$43="3",M273,COMPUTER!P260)</f>
        <v>#N/A</v>
      </c>
      <c r="BC267">
        <v>252</v>
      </c>
      <c r="BD267" t="e">
        <f>IF(IF($B$43="Execute",M273,COMPUTER!P260)=0,"",IF(AND($H$43="3",$B$43="Execute"),M273,COMPUTER!P260))</f>
        <v>#N/A</v>
      </c>
      <c r="BK267" s="15"/>
      <c r="BL267" s="15"/>
    </row>
    <row r="268" spans="10:64">
      <c r="J268" s="50"/>
      <c r="K268" s="51">
        <v>247</v>
      </c>
      <c r="L268" s="51">
        <f>COMPUTER!P255</f>
        <v>0</v>
      </c>
      <c r="M268" s="52" t="e">
        <f t="shared" si="35"/>
        <v>#N/A</v>
      </c>
      <c r="AX268">
        <v>253</v>
      </c>
      <c r="AY268" t="e">
        <f>IF($H$43="3",M274,COMPUTER!P261)</f>
        <v>#N/A</v>
      </c>
      <c r="BC268">
        <v>253</v>
      </c>
      <c r="BD268" t="e">
        <f>IF(IF($B$43="Execute",M274,COMPUTER!P261)=0,"",IF(AND($H$43="3",$B$43="Execute"),M274,COMPUTER!P261))</f>
        <v>#N/A</v>
      </c>
      <c r="BK268" s="15"/>
      <c r="BL268" s="15"/>
    </row>
    <row r="269" spans="10:64">
      <c r="J269" s="50"/>
      <c r="K269" s="51">
        <v>248</v>
      </c>
      <c r="L269" s="51">
        <f>COMPUTER!P256</f>
        <v>0</v>
      </c>
      <c r="M269" s="52" t="e">
        <f t="shared" si="35"/>
        <v>#N/A</v>
      </c>
      <c r="AX269">
        <v>254</v>
      </c>
      <c r="AY269" t="e">
        <f>IF($H$43="3",M275,COMPUTER!P262)</f>
        <v>#N/A</v>
      </c>
      <c r="BC269">
        <v>254</v>
      </c>
      <c r="BD269" t="e">
        <f>IF(IF($B$43="Execute",M275,COMPUTER!P262)=0,"",IF(AND($H$43="3",$B$43="Execute"),M275,COMPUTER!P262))</f>
        <v>#N/A</v>
      </c>
      <c r="BK269" s="15"/>
      <c r="BL269" s="15"/>
    </row>
    <row r="270" spans="10:64" ht="13.5" thickBot="1">
      <c r="J270" s="50"/>
      <c r="K270" s="51">
        <v>249</v>
      </c>
      <c r="L270" s="51">
        <f>COMPUTER!P257</f>
        <v>0</v>
      </c>
      <c r="M270" s="52" t="e">
        <f t="shared" si="35"/>
        <v>#N/A</v>
      </c>
      <c r="AX270">
        <v>255</v>
      </c>
      <c r="AY270" t="e">
        <f>IF($H$43="3",M276,COMPUTER!P263)</f>
        <v>#N/A</v>
      </c>
      <c r="BC270">
        <v>255</v>
      </c>
      <c r="BD270" t="e">
        <f>IF(IF($B$43="Execute",M276,COMPUTER!P263)=0,"",IF(AND($H$43="3",$B$43="Execute"),M276,COMPUTER!P263))</f>
        <v>#N/A</v>
      </c>
      <c r="BK270" s="33"/>
      <c r="BL270" s="15"/>
    </row>
    <row r="271" spans="10:64">
      <c r="J271" s="50"/>
      <c r="K271" s="51">
        <v>250</v>
      </c>
      <c r="L271" s="51">
        <f>COMPUTER!P258</f>
        <v>0</v>
      </c>
      <c r="M271" s="52" t="e">
        <f t="shared" si="35"/>
        <v>#N/A</v>
      </c>
    </row>
    <row r="272" spans="10:64">
      <c r="J272" s="50"/>
      <c r="K272" s="51">
        <v>251</v>
      </c>
      <c r="L272" s="51">
        <f>COMPUTER!P259</f>
        <v>0</v>
      </c>
      <c r="M272" s="52" t="e">
        <f t="shared" si="35"/>
        <v>#N/A</v>
      </c>
    </row>
    <row r="273" spans="10:13">
      <c r="J273" s="50"/>
      <c r="K273" s="51">
        <v>252</v>
      </c>
      <c r="L273" s="51">
        <f>COMPUTER!P260</f>
        <v>0</v>
      </c>
      <c r="M273" s="52" t="e">
        <f t="shared" si="35"/>
        <v>#N/A</v>
      </c>
    </row>
    <row r="274" spans="10:13">
      <c r="J274" s="50"/>
      <c r="K274" s="51">
        <v>253</v>
      </c>
      <c r="L274" s="51">
        <f>COMPUTER!P261</f>
        <v>0</v>
      </c>
      <c r="M274" s="52" t="e">
        <f t="shared" si="35"/>
        <v>#N/A</v>
      </c>
    </row>
    <row r="275" spans="10:13">
      <c r="J275" s="50"/>
      <c r="K275" s="51">
        <v>254</v>
      </c>
      <c r="L275" s="51">
        <f>COMPUTER!P262</f>
        <v>0</v>
      </c>
      <c r="M275" s="52" t="e">
        <f t="shared" si="35"/>
        <v>#N/A</v>
      </c>
    </row>
    <row r="276" spans="10:13" ht="13.5" thickBot="1">
      <c r="J276" s="53"/>
      <c r="K276" s="54">
        <v>255</v>
      </c>
      <c r="L276" s="54">
        <f>COMPUTER!P263</f>
        <v>0</v>
      </c>
      <c r="M276" s="52" t="e">
        <f t="shared" si="35"/>
        <v>#N/A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COMPUTER</vt:lpstr>
      <vt:lpstr>Write a Program</vt:lpstr>
      <vt:lpstr>Details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Matt Brown</cp:lastModifiedBy>
  <dcterms:created xsi:type="dcterms:W3CDTF">2009-07-02T21:27:42Z</dcterms:created>
  <dcterms:modified xsi:type="dcterms:W3CDTF">2009-10-09T15:28:54Z</dcterms:modified>
</cp:coreProperties>
</file>